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drawings/drawing2.xml" ContentType="application/vnd.openxmlformats-officedocument.drawing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xonline.sharepoint.com/sites/EnterpriseDataScience-DataScienceProjects/Shared Documents/Data Science Projects/Retraining Framework/PSR4/"/>
    </mc:Choice>
  </mc:AlternateContent>
  <xr:revisionPtr revIDLastSave="1540" documentId="13_ncr:1_{73D9655E-DCF2-48D8-8D2E-6FFCDB8394D4}" xr6:coauthVersionLast="47" xr6:coauthVersionMax="47" xr10:uidLastSave="{84D7C8E5-8034-4D7A-B5B2-0263AD0EE8CF}"/>
  <bookViews>
    <workbookView xWindow="57480" yWindow="1620" windowWidth="29040" windowHeight="15720" tabRatio="778" activeTab="5" xr2:uid="{ECDD60B9-AF15-4E52-9617-67F65163F93D}"/>
  </bookViews>
  <sheets>
    <sheet name="Baseline Model" sheetId="3" r:id="rId1"/>
    <sheet name="Comparison" sheetId="2" r:id="rId2"/>
    <sheet name="Correlated Columns" sheetId="5" r:id="rId3"/>
    <sheet name="Old Features" sheetId="6" r:id="rId4"/>
    <sheet name="Undersampling" sheetId="1" r:id="rId5"/>
    <sheet name="Undersampled + Correlation" sheetId="9" r:id="rId6"/>
    <sheet name="Sheet2" sheetId="10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96" i="9" l="1"/>
  <c r="AI97" i="9"/>
  <c r="AI98" i="9"/>
  <c r="AI99" i="9"/>
  <c r="AI100" i="9"/>
  <c r="AI101" i="9"/>
  <c r="AI102" i="9"/>
  <c r="AI103" i="9"/>
  <c r="AI104" i="9"/>
  <c r="AI105" i="9"/>
  <c r="W96" i="9"/>
  <c r="K96" i="9"/>
  <c r="D148" i="9"/>
  <c r="AB106" i="9"/>
  <c r="AA106" i="9"/>
  <c r="Z106" i="9"/>
  <c r="AI139" i="9"/>
  <c r="AI138" i="9"/>
  <c r="N68" i="3"/>
  <c r="N69" i="3"/>
  <c r="N70" i="3"/>
  <c r="N71" i="3"/>
  <c r="N72" i="3"/>
  <c r="N73" i="3"/>
  <c r="N74" i="3"/>
  <c r="N75" i="3"/>
  <c r="N76" i="3"/>
  <c r="N67" i="3"/>
  <c r="M68" i="3"/>
  <c r="M69" i="3"/>
  <c r="M70" i="3"/>
  <c r="M71" i="3"/>
  <c r="M72" i="3"/>
  <c r="M73" i="3"/>
  <c r="M74" i="3"/>
  <c r="M75" i="3"/>
  <c r="M76" i="3"/>
  <c r="M67" i="3"/>
  <c r="C87" i="3"/>
  <c r="A87" i="3"/>
  <c r="B87" i="3"/>
  <c r="L68" i="3"/>
  <c r="L69" i="3"/>
  <c r="L70" i="3"/>
  <c r="L71" i="3"/>
  <c r="L72" i="3"/>
  <c r="L73" i="3"/>
  <c r="L74" i="3"/>
  <c r="L75" i="3"/>
  <c r="L76" i="3"/>
  <c r="L67" i="3"/>
  <c r="N43" i="3"/>
  <c r="N44" i="3"/>
  <c r="N45" i="3"/>
  <c r="N46" i="3"/>
  <c r="N47" i="3"/>
  <c r="N48" i="3"/>
  <c r="N49" i="3"/>
  <c r="N50" i="3"/>
  <c r="N51" i="3"/>
  <c r="N42" i="3"/>
  <c r="M43" i="3"/>
  <c r="M44" i="3"/>
  <c r="M45" i="3"/>
  <c r="M46" i="3"/>
  <c r="M47" i="3"/>
  <c r="M48" i="3"/>
  <c r="M49" i="3"/>
  <c r="M50" i="3"/>
  <c r="M51" i="3"/>
  <c r="M42" i="3"/>
  <c r="C62" i="3"/>
  <c r="A62" i="3"/>
  <c r="B62" i="3"/>
  <c r="O18" i="3"/>
  <c r="L43" i="3"/>
  <c r="L44" i="3"/>
  <c r="L45" i="3"/>
  <c r="L46" i="3"/>
  <c r="L47" i="3"/>
  <c r="L48" i="3"/>
  <c r="L49" i="3"/>
  <c r="L50" i="3"/>
  <c r="L51" i="3"/>
  <c r="L42" i="3"/>
  <c r="Q18" i="3"/>
  <c r="Q19" i="3"/>
  <c r="Q20" i="3"/>
  <c r="Q21" i="3"/>
  <c r="Q22" i="3"/>
  <c r="Q23" i="3"/>
  <c r="Q24" i="3"/>
  <c r="Q25" i="3"/>
  <c r="Q26" i="3"/>
  <c r="Q27" i="3"/>
  <c r="P18" i="3"/>
  <c r="P19" i="3"/>
  <c r="P20" i="3"/>
  <c r="P21" i="3"/>
  <c r="P22" i="3"/>
  <c r="P23" i="3"/>
  <c r="P24" i="3"/>
  <c r="P25" i="3"/>
  <c r="P26" i="3"/>
  <c r="P27" i="3"/>
  <c r="M27" i="3"/>
  <c r="O27" i="3" s="1"/>
  <c r="M26" i="3"/>
  <c r="O26" i="3" s="1"/>
  <c r="M25" i="3"/>
  <c r="O25" i="3" s="1"/>
  <c r="M24" i="3"/>
  <c r="O24" i="3" s="1"/>
  <c r="M23" i="3"/>
  <c r="O23" i="3" s="1"/>
  <c r="M22" i="3"/>
  <c r="O22" i="3" s="1"/>
  <c r="M21" i="3"/>
  <c r="O21" i="3" s="1"/>
  <c r="M20" i="3"/>
  <c r="O20" i="3" s="1"/>
  <c r="M19" i="3"/>
  <c r="O19" i="3" s="1"/>
  <c r="M18" i="3"/>
  <c r="AA63" i="10"/>
  <c r="AA72" i="10"/>
  <c r="AA71" i="10"/>
  <c r="AA70" i="10"/>
  <c r="AA69" i="10"/>
  <c r="AA68" i="10"/>
  <c r="AA67" i="10"/>
  <c r="AA66" i="10"/>
  <c r="AA65" i="10"/>
  <c r="AA64" i="10"/>
  <c r="T73" i="10"/>
  <c r="S73" i="10"/>
  <c r="R73" i="10"/>
  <c r="T52" i="10"/>
  <c r="U52" i="10" s="1"/>
  <c r="S52" i="10"/>
  <c r="C38" i="3"/>
  <c r="B38" i="3"/>
  <c r="O56" i="10"/>
  <c r="O55" i="10"/>
  <c r="O54" i="10"/>
  <c r="O53" i="10"/>
  <c r="O52" i="10"/>
  <c r="O51" i="10"/>
  <c r="O50" i="10"/>
  <c r="O49" i="10"/>
  <c r="O48" i="10"/>
  <c r="O47" i="10"/>
  <c r="AA148" i="9"/>
  <c r="Z148" i="9"/>
  <c r="O148" i="9"/>
  <c r="N148" i="9"/>
  <c r="C148" i="9"/>
  <c r="B148" i="9"/>
  <c r="AA134" i="9"/>
  <c r="Z134" i="9"/>
  <c r="O134" i="9"/>
  <c r="N134" i="9"/>
  <c r="C134" i="9"/>
  <c r="B134" i="9"/>
  <c r="Z58" i="9"/>
  <c r="AA58" i="9"/>
  <c r="O58" i="9"/>
  <c r="N58" i="9"/>
  <c r="C58" i="9"/>
  <c r="B58" i="9"/>
  <c r="AA44" i="9"/>
  <c r="Z44" i="9"/>
  <c r="O44" i="9"/>
  <c r="N44" i="9"/>
  <c r="C44" i="9"/>
  <c r="B44" i="9"/>
  <c r="AI49" i="5"/>
  <c r="AI50" i="5"/>
  <c r="AI51" i="5"/>
  <c r="AI52" i="5"/>
  <c r="AI53" i="5"/>
  <c r="AI54" i="5"/>
  <c r="AI55" i="5"/>
  <c r="AI56" i="5"/>
  <c r="AI57" i="5"/>
  <c r="AI58" i="5"/>
  <c r="AB59" i="5"/>
  <c r="AA59" i="5"/>
  <c r="Z59" i="5"/>
  <c r="P14" i="5"/>
  <c r="O14" i="5"/>
  <c r="N14" i="5"/>
  <c r="D59" i="5"/>
  <c r="K52" i="5" s="1"/>
  <c r="W49" i="5"/>
  <c r="W50" i="5"/>
  <c r="W51" i="5"/>
  <c r="W52" i="5"/>
  <c r="W53" i="5"/>
  <c r="W54" i="5"/>
  <c r="W55" i="5"/>
  <c r="W56" i="5"/>
  <c r="W57" i="5"/>
  <c r="W58" i="5"/>
  <c r="P59" i="5"/>
  <c r="O59" i="5"/>
  <c r="N59" i="5"/>
  <c r="K51" i="5"/>
  <c r="C59" i="5"/>
  <c r="B59" i="5"/>
  <c r="AI35" i="5"/>
  <c r="AI36" i="5"/>
  <c r="AI37" i="5"/>
  <c r="AI38" i="5"/>
  <c r="AI39" i="5"/>
  <c r="AI40" i="5"/>
  <c r="AI41" i="5"/>
  <c r="AI42" i="5"/>
  <c r="AI43" i="5"/>
  <c r="AI44" i="5"/>
  <c r="AB45" i="5"/>
  <c r="AA45" i="5"/>
  <c r="Z45" i="5"/>
  <c r="W35" i="5"/>
  <c r="W36" i="5"/>
  <c r="W37" i="5"/>
  <c r="W38" i="5"/>
  <c r="W39" i="5"/>
  <c r="W40" i="5"/>
  <c r="W41" i="5"/>
  <c r="W42" i="5"/>
  <c r="W43" i="5"/>
  <c r="W44" i="5"/>
  <c r="P45" i="5"/>
  <c r="O45" i="5"/>
  <c r="N45" i="5"/>
  <c r="K35" i="5"/>
  <c r="K36" i="5"/>
  <c r="K37" i="5"/>
  <c r="K38" i="5"/>
  <c r="K39" i="5"/>
  <c r="K40" i="5"/>
  <c r="K41" i="5"/>
  <c r="K42" i="5"/>
  <c r="K43" i="5"/>
  <c r="K44" i="5"/>
  <c r="D45" i="5"/>
  <c r="B45" i="5"/>
  <c r="C45" i="5"/>
  <c r="AI4" i="5"/>
  <c r="AI5" i="5"/>
  <c r="AI6" i="5"/>
  <c r="AI7" i="5"/>
  <c r="AI8" i="5"/>
  <c r="AI9" i="5"/>
  <c r="AI10" i="5"/>
  <c r="AI11" i="5"/>
  <c r="AI12" i="5"/>
  <c r="AI13" i="5"/>
  <c r="W4" i="5"/>
  <c r="W5" i="5"/>
  <c r="W6" i="5"/>
  <c r="W7" i="5"/>
  <c r="W8" i="5"/>
  <c r="W9" i="5"/>
  <c r="W10" i="5"/>
  <c r="W11" i="5"/>
  <c r="W12" i="5"/>
  <c r="W13" i="5"/>
  <c r="K4" i="5"/>
  <c r="K5" i="5"/>
  <c r="K6" i="5"/>
  <c r="K7" i="5"/>
  <c r="K8" i="5"/>
  <c r="K9" i="5"/>
  <c r="K10" i="5"/>
  <c r="K11" i="5"/>
  <c r="K12" i="5"/>
  <c r="K13" i="5"/>
  <c r="K47" i="2"/>
  <c r="K48" i="2"/>
  <c r="K46" i="2"/>
  <c r="K51" i="2"/>
  <c r="K50" i="2"/>
  <c r="K49" i="2"/>
  <c r="AI4" i="9"/>
  <c r="AI5" i="9"/>
  <c r="AI6" i="9"/>
  <c r="AI7" i="9"/>
  <c r="AI8" i="9"/>
  <c r="AI9" i="9"/>
  <c r="AI10" i="9"/>
  <c r="AI11" i="9"/>
  <c r="AI12" i="9"/>
  <c r="AI13" i="9"/>
  <c r="W4" i="9"/>
  <c r="W5" i="9"/>
  <c r="W6" i="9"/>
  <c r="W7" i="9"/>
  <c r="W8" i="9"/>
  <c r="W9" i="9"/>
  <c r="W10" i="9"/>
  <c r="W11" i="9"/>
  <c r="W12" i="9"/>
  <c r="W13" i="9"/>
  <c r="K4" i="9"/>
  <c r="K5" i="9"/>
  <c r="K6" i="9"/>
  <c r="K7" i="9"/>
  <c r="K8" i="9"/>
  <c r="K9" i="9"/>
  <c r="K10" i="9"/>
  <c r="K11" i="9"/>
  <c r="K12" i="9"/>
  <c r="K13" i="9"/>
  <c r="W97" i="9"/>
  <c r="W98" i="9"/>
  <c r="W99" i="9"/>
  <c r="W100" i="9"/>
  <c r="W101" i="9"/>
  <c r="W102" i="9"/>
  <c r="W103" i="9"/>
  <c r="W104" i="9"/>
  <c r="W105" i="9"/>
  <c r="K97" i="9"/>
  <c r="K98" i="9"/>
  <c r="K99" i="9"/>
  <c r="K100" i="9"/>
  <c r="K101" i="9"/>
  <c r="K102" i="9"/>
  <c r="K103" i="9"/>
  <c r="K104" i="9"/>
  <c r="K105" i="9"/>
  <c r="P15" i="10"/>
  <c r="O15" i="10"/>
  <c r="K65" i="2"/>
  <c r="K64" i="2"/>
  <c r="K63" i="2"/>
  <c r="K58" i="2"/>
  <c r="K57" i="2"/>
  <c r="K56" i="2"/>
  <c r="K23" i="2"/>
  <c r="K24" i="2"/>
  <c r="K22" i="2"/>
  <c r="K39" i="2"/>
  <c r="K40" i="2"/>
  <c r="K37" i="2"/>
  <c r="K38" i="2"/>
  <c r="K36" i="2"/>
  <c r="K35" i="2"/>
  <c r="K29" i="2"/>
  <c r="K30" i="2"/>
  <c r="K31" i="2"/>
  <c r="K32" i="2"/>
  <c r="K33" i="2"/>
  <c r="K34" i="2"/>
  <c r="K21" i="2"/>
  <c r="K20" i="2"/>
  <c r="K19" i="2"/>
  <c r="K9" i="2"/>
  <c r="K10" i="2"/>
  <c r="K11" i="2"/>
  <c r="K12" i="2"/>
  <c r="K13" i="2"/>
  <c r="K14" i="2"/>
  <c r="D38" i="3" l="1"/>
  <c r="J18" i="3" s="1"/>
  <c r="J24" i="3"/>
  <c r="J21" i="3"/>
  <c r="D44" i="9"/>
  <c r="K43" i="9" s="1"/>
  <c r="AB44" i="9"/>
  <c r="AI34" i="9" s="1"/>
  <c r="D134" i="9"/>
  <c r="K131" i="9" s="1"/>
  <c r="P58" i="9"/>
  <c r="W53" i="9" s="1"/>
  <c r="AB58" i="9"/>
  <c r="AI51" i="9" s="1"/>
  <c r="P44" i="9"/>
  <c r="W34" i="9" s="1"/>
  <c r="P148" i="9"/>
  <c r="W140" i="9" s="1"/>
  <c r="D58" i="9"/>
  <c r="K53" i="9" s="1"/>
  <c r="K36" i="9"/>
  <c r="K34" i="9"/>
  <c r="K39" i="9"/>
  <c r="K40" i="9"/>
  <c r="K41" i="9"/>
  <c r="K42" i="9"/>
  <c r="W39" i="9"/>
  <c r="W40" i="9"/>
  <c r="W54" i="9"/>
  <c r="W55" i="9"/>
  <c r="W57" i="9"/>
  <c r="W48" i="9"/>
  <c r="W49" i="9"/>
  <c r="AI50" i="9"/>
  <c r="AI43" i="9"/>
  <c r="AB134" i="9"/>
  <c r="AI125" i="9" s="1"/>
  <c r="AI42" i="9"/>
  <c r="AI41" i="9"/>
  <c r="K146" i="9"/>
  <c r="AI40" i="9"/>
  <c r="AI39" i="9"/>
  <c r="AI37" i="9"/>
  <c r="AI36" i="9"/>
  <c r="AB148" i="9"/>
  <c r="AI145" i="9" s="1"/>
  <c r="AI35" i="9"/>
  <c r="P134" i="9"/>
  <c r="W128" i="9" s="1"/>
  <c r="W145" i="9"/>
  <c r="W144" i="9"/>
  <c r="K130" i="9"/>
  <c r="K124" i="9"/>
  <c r="K133" i="9"/>
  <c r="K129" i="9"/>
  <c r="K128" i="9"/>
  <c r="K127" i="9"/>
  <c r="W43" i="10"/>
  <c r="W49" i="10"/>
  <c r="W51" i="10"/>
  <c r="W42" i="10"/>
  <c r="W44" i="10"/>
  <c r="W45" i="10"/>
  <c r="W46" i="10"/>
  <c r="W47" i="10"/>
  <c r="W48" i="10"/>
  <c r="W50" i="10"/>
  <c r="J25" i="3"/>
  <c r="J19" i="3"/>
  <c r="J33" i="3"/>
  <c r="J32" i="3"/>
  <c r="J31" i="3"/>
  <c r="J30" i="3"/>
  <c r="J29" i="3"/>
  <c r="J28" i="3"/>
  <c r="J27" i="3"/>
  <c r="J22" i="3"/>
  <c r="J37" i="3"/>
  <c r="J36" i="3"/>
  <c r="J35" i="3"/>
  <c r="J34" i="3"/>
  <c r="Q15" i="10"/>
  <c r="X14" i="10" s="1"/>
  <c r="AI57" i="9"/>
  <c r="AI55" i="9"/>
  <c r="AI53" i="9"/>
  <c r="AI56" i="9"/>
  <c r="K49" i="5"/>
  <c r="K58" i="5"/>
  <c r="K57" i="5"/>
  <c r="K55" i="5"/>
  <c r="K54" i="5"/>
  <c r="K50" i="5"/>
  <c r="K56" i="5"/>
  <c r="K53" i="5"/>
  <c r="J20" i="3" l="1"/>
  <c r="J26" i="3"/>
  <c r="J23" i="3"/>
  <c r="W52" i="9"/>
  <c r="K52" i="9"/>
  <c r="AI38" i="9"/>
  <c r="K51" i="9"/>
  <c r="K49" i="9"/>
  <c r="W146" i="9"/>
  <c r="AI49" i="9"/>
  <c r="K56" i="9"/>
  <c r="AI48" i="9"/>
  <c r="K132" i="9"/>
  <c r="W51" i="9"/>
  <c r="W42" i="9"/>
  <c r="K147" i="9"/>
  <c r="K138" i="9"/>
  <c r="K50" i="9"/>
  <c r="K48" i="9"/>
  <c r="W147" i="9"/>
  <c r="K57" i="9"/>
  <c r="W43" i="9"/>
  <c r="K126" i="9"/>
  <c r="W50" i="9"/>
  <c r="W41" i="9"/>
  <c r="K37" i="9"/>
  <c r="K35" i="9"/>
  <c r="K38" i="9"/>
  <c r="AI124" i="9"/>
  <c r="AI133" i="9"/>
  <c r="W139" i="9"/>
  <c r="W138" i="9"/>
  <c r="W38" i="9"/>
  <c r="W141" i="9"/>
  <c r="W37" i="9"/>
  <c r="W142" i="9"/>
  <c r="W56" i="9"/>
  <c r="W35" i="9"/>
  <c r="AI54" i="9"/>
  <c r="K125" i="9"/>
  <c r="W143" i="9"/>
  <c r="W127" i="9"/>
  <c r="K145" i="9"/>
  <c r="AI141" i="9"/>
  <c r="W133" i="9"/>
  <c r="AI144" i="9"/>
  <c r="K142" i="9"/>
  <c r="AI143" i="9"/>
  <c r="AI142" i="9"/>
  <c r="K55" i="9"/>
  <c r="K140" i="9"/>
  <c r="K54" i="9"/>
  <c r="W36" i="9"/>
  <c r="AI52" i="9"/>
  <c r="K139" i="9"/>
  <c r="AI140" i="9"/>
  <c r="AI131" i="9"/>
  <c r="AI129" i="9"/>
  <c r="AI128" i="9"/>
  <c r="AI132" i="9"/>
  <c r="AI130" i="9"/>
  <c r="AI127" i="9"/>
  <c r="W124" i="9"/>
  <c r="AI126" i="9"/>
  <c r="W132" i="9"/>
  <c r="W126" i="9"/>
  <c r="W125" i="9"/>
  <c r="K144" i="9"/>
  <c r="W131" i="9"/>
  <c r="K143" i="9"/>
  <c r="W130" i="9"/>
  <c r="K141" i="9"/>
  <c r="AI147" i="9"/>
  <c r="W129" i="9"/>
  <c r="AI146" i="9"/>
  <c r="X13" i="10"/>
  <c r="X12" i="10"/>
  <c r="X11" i="10"/>
  <c r="X10" i="10"/>
  <c r="X9" i="10"/>
  <c r="X8" i="10"/>
  <c r="X7" i="10"/>
  <c r="X6" i="10"/>
  <c r="X5" i="10"/>
</calcChain>
</file>

<file path=xl/sharedStrings.xml><?xml version="1.0" encoding="utf-8"?>
<sst xmlns="http://schemas.openxmlformats.org/spreadsheetml/2006/main" count="1210" uniqueCount="96">
  <si>
    <t>Baseline Model Results</t>
  </si>
  <si>
    <t>Train Results</t>
  </si>
  <si>
    <t>Index</t>
  </si>
  <si>
    <t>Counts</t>
  </si>
  <si>
    <t>Positive Target</t>
  </si>
  <si>
    <t>Target Rate</t>
  </si>
  <si>
    <t>Overall_Target PCT</t>
  </si>
  <si>
    <t>MIN PROB_OF_YES</t>
  </si>
  <si>
    <t>Max PROB_OF_YES</t>
  </si>
  <si>
    <t>Mean PROB_OF_YES</t>
  </si>
  <si>
    <t>Median PROB_OF_YES</t>
  </si>
  <si>
    <t>Std PROB_OF_YES</t>
  </si>
  <si>
    <t>OOS Results</t>
  </si>
  <si>
    <t>Min PROB_OF_YES</t>
  </si>
  <si>
    <t>Approach: Features used in the PSR4's Baseline Model</t>
  </si>
  <si>
    <r>
      <rPr>
        <b/>
        <sz val="14"/>
        <color theme="1"/>
        <rFont val="Aptos Narrow"/>
        <family val="2"/>
        <scheme val="minor"/>
      </rPr>
      <t>Features Used</t>
    </r>
    <r>
      <rPr>
        <sz val="14"/>
        <color theme="1"/>
        <rFont val="Aptos Narrow"/>
        <family val="2"/>
        <scheme val="minor"/>
      </rPr>
      <t>:PROVIDERTYPE_MEDICAL, SUMCHECKPAYMENTCOUNT30, SUMCHECKPAYMENTAMOUNT30,
CHECK_PAYMENT_AVG_30, CHECK_PAYMENTCOUNT_MOMENTUM_30_90, PAYERID_CHECK_COUNT,
TIME_SINCE_LAST_CHECK_PAYMENT, CANCELLEDCHECKPAYMENTCOUNT30,
TIME_SINCE_LAST_CANCELLED_CHECK_PAYMENT, FIRSTACTION_BOOL</t>
    </r>
  </si>
  <si>
    <t>Model Name</t>
  </si>
  <si>
    <t>Dataset</t>
  </si>
  <si>
    <t>AUC</t>
  </si>
  <si>
    <t>Accuracy</t>
  </si>
  <si>
    <t>Precision</t>
  </si>
  <si>
    <t>Recall</t>
  </si>
  <si>
    <t>F1</t>
  </si>
  <si>
    <t>Decile-1  Capture %</t>
  </si>
  <si>
    <t>Decile-2  Capture %</t>
  </si>
  <si>
    <t>Decile-3  Capture %</t>
  </si>
  <si>
    <t>Top 3 Deciles Capture %</t>
  </si>
  <si>
    <t>RandomForestClassifier</t>
  </si>
  <si>
    <t>Train</t>
  </si>
  <si>
    <t>Val</t>
  </si>
  <si>
    <t>OOS</t>
  </si>
  <si>
    <t>XGBClassifier</t>
  </si>
  <si>
    <t>Approach: Features Highly Correlated with Target Column</t>
  </si>
  <si>
    <r>
      <rPr>
        <b/>
        <sz val="14"/>
        <color theme="1"/>
        <rFont val="Aptos Narrow"/>
        <family val="2"/>
        <scheme val="minor"/>
      </rPr>
      <t>Features Used</t>
    </r>
    <r>
      <rPr>
        <sz val="14"/>
        <color theme="1"/>
        <rFont val="Aptos Narrow"/>
        <family val="2"/>
        <scheme val="minor"/>
      </rPr>
      <t>:  'PAYERID_CHECK_COUNT', 
SUMCHECKPAYMENTCOUNT90',
'CANCELLEDCHECKPAYMENTCOUNT',
 'PHONECOUNT60', 'PROVIDERTYPE', 'TIME_SINCE_LAST_CHECK_PAYMENT', 'TIME_SINCE_LAST_CANCELLED_CHECK_PAYMENT', 'TOTAL_PREV_OPTOUTS',
 'TOTAL_PREV_OPTOUTS_LAST_YEAR', 'SEGMENT',
 'SUMACHPAYMENTAMOUNT', 'SUMPAYERSPONSOREDPAYMENTCOUNT', 
 'FIRSTACTION_BOOL', 
'CHECK_PAYMENT_AVG_30', 'CHECK_PAYMENTCOUNT_MOMENTUM_30_90'</t>
    </r>
  </si>
  <si>
    <t>Validation</t>
  </si>
  <si>
    <t>Approach: Undersampling</t>
  </si>
  <si>
    <t>RandomForestClassifier (20:1)</t>
  </si>
  <si>
    <t>RandomForestClassifier (50:1)</t>
  </si>
  <si>
    <t>RandomForestClassifier (100:1)</t>
  </si>
  <si>
    <t>RandomForestClassifier (200:1)</t>
  </si>
  <si>
    <t>Approach: Undersampling + Features highly correlated with target column</t>
  </si>
  <si>
    <r>
      <rPr>
        <b/>
        <sz val="14"/>
        <color theme="1"/>
        <rFont val="Aptos Narrow"/>
        <family val="2"/>
        <scheme val="minor"/>
      </rPr>
      <t>Features Used</t>
    </r>
    <r>
      <rPr>
        <sz val="14"/>
        <color theme="1"/>
        <rFont val="Aptos Narrow"/>
        <family val="2"/>
        <scheme val="minor"/>
      </rPr>
      <t>:  'PAYERID_CHECK_COUNT', 
SUMCHECKPAYMENTCOUNT90',
'CANCELLEDCHECKPAYMENTCOUNT',
 'PHONECOUNT60', 'PROVIDERTYPE', 'TIME_SINCE_LAST_CHECK_PAYMENT', 'TIME_SINCE_LAST_CANCELLED_CHECK_PAYMENT', 'TOTAL_PREV_OPTOUTS',
 'TOTAL_PREV_OPTOUTS_LAST_YEAR', 
 'SUMACHPAYMENTAMOUNT', 'SUMPAYERSPONSOREDPAYMENTCOUNT', 
 'FIRSTACTION_BOOL', 
'CHECK_PAYMENT_AVG_30', 'CHECK_PAYMENTCOUNT_MOMENTUM_30_90'</t>
    </r>
  </si>
  <si>
    <t>RandomForestClassifier(200:1)</t>
  </si>
  <si>
    <t>XGBClassifier(200:1)</t>
  </si>
  <si>
    <t>Approach: Feature Pruning</t>
  </si>
  <si>
    <r>
      <t xml:space="preserve">Features Used : 
</t>
    </r>
    <r>
      <rPr>
        <sz val="14"/>
        <color theme="1"/>
        <rFont val="Aptos Narrow"/>
        <family val="2"/>
        <scheme val="minor"/>
      </rPr>
      <t xml:space="preserve"> 'PROVIDERTYPE', 'PAYERID_CHECK_COUNT',
'TIME_SINCE_LAST_CHECK_PAYMENT',
 'SUMCHECKPAYMENTCOUNT30', 'SUMCHECKPAYMENTAMOUNT30',
 'SUMCHECKPAYMENTCOUNT60','SUMCHECKPAYMENTAMOUNT60',
 'SUMCHECKPAYMENTCOUNT90','SUMCHECKPAYMENTAMOUNT90',
 'PAYERID_TOTAL_COUNT','PAYERID_IMPORTANT_COUNT','CHECK_PAYMENT_AVG_30',
 'CHECK_PAYMENTCOUNT_MOMENTUM_30_90',
</t>
    </r>
    <r>
      <rPr>
        <b/>
        <sz val="14"/>
        <color theme="1"/>
        <rFont val="Aptos Narrow"/>
        <family val="2"/>
        <scheme val="minor"/>
      </rPr>
      <t xml:space="preserve">   </t>
    </r>
  </si>
  <si>
    <t>Approach: Anomaly Detection</t>
  </si>
  <si>
    <r>
      <t>Features Used:</t>
    </r>
    <r>
      <rPr>
        <sz val="14"/>
        <color theme="1"/>
        <rFont val="Aptos Narrow"/>
        <family val="2"/>
        <scheme val="minor"/>
      </rPr>
      <t xml:space="preserve">  'PAYERID_CHECK_COUNT', 
SUMCHECKPAYMENTCOUNT90',
'CANCELLEDCHECKPAYMENTCOUNT',
 'PHONECOUNT60', 'PROVIDERTYPE', 'TIME_SINCE_LAST_CHECK_PAYMENT', 'TIME_SINCE_LAST_CANCELLED_CHECK_PAYMENT', 'TOTAL_PREV_OPTOUTS',
 'TOTAL_PREV_OPTOUTS_LAST_YEAR', 'SEGMENT',
 'SUMACHPAYMENTAMOUNT', 'SUMPAYERSPONSOREDPAYMENTCOUNT', 
 'FIRSTACTION_BOOL', 
'CHECK_PAYMENT_AVG_30', 'CHECK_PAYMENTCOUNT_MOMENTUM_30_90'</t>
    </r>
  </si>
  <si>
    <t>IsolationForest</t>
  </si>
  <si>
    <t>SEGMENT: 10 Split</t>
  </si>
  <si>
    <t>TRAIN</t>
  </si>
  <si>
    <t>VALIDATION</t>
  </si>
  <si>
    <t>OOS (TEST)</t>
  </si>
  <si>
    <t>Decile</t>
  </si>
  <si>
    <t>Lift</t>
  </si>
  <si>
    <t>Feature Name</t>
  </si>
  <si>
    <t>Importance</t>
  </si>
  <si>
    <t>TIME_SINCE_LAST_CHECK_PAYMENT</t>
  </si>
  <si>
    <t>SUMCHECKPAYMENTCOUNT90</t>
  </si>
  <si>
    <t>CHECK_PAYMENT_AVG_30</t>
  </si>
  <si>
    <t>CHECK_PAYMENTCOUNT_MOMENTUM_30_90</t>
  </si>
  <si>
    <t>PAYERID_CHECK_COUNT</t>
  </si>
  <si>
    <t>PROVIDERTYPE_MEDICAL</t>
  </si>
  <si>
    <t>TIME_SINCE_LAST_CANCELLED_CHECK_PAYMENT</t>
  </si>
  <si>
    <t>TOTAL_PREV_OPTOUTS_LAST_YEAR</t>
  </si>
  <si>
    <t>TOTAL_PREV_OPTOUTS</t>
  </si>
  <si>
    <t>FIRSTACTION_BOOL</t>
  </si>
  <si>
    <t>PHONECOUNT60</t>
  </si>
  <si>
    <t xml:space="preserve"> </t>
  </si>
  <si>
    <t>CANCELLEDCHECKPAYMENTCOUNT</t>
  </si>
  <si>
    <t>SUMACHPAYMENTAMOUNT</t>
  </si>
  <si>
    <t>SUMPAYERSPONSOREDPAYMENTCOUNT</t>
  </si>
  <si>
    <t>SEGMENT: Circlebacks (FIRSTACTION_BOOL=0) - 10 Split</t>
  </si>
  <si>
    <t>SEGMENT: Undecideds (FIRSTACTION_BOOL=1) - 10 Split</t>
  </si>
  <si>
    <t>XGBoost</t>
  </si>
  <si>
    <t>Feature</t>
  </si>
  <si>
    <t>Random Forest</t>
  </si>
  <si>
    <t>Imbalance 20:1</t>
  </si>
  <si>
    <t>Imbalance 50:1</t>
  </si>
  <si>
    <t>OOS(TEST)</t>
  </si>
  <si>
    <t>Imbalance 100:1</t>
  </si>
  <si>
    <t>Imbalance 200:1</t>
  </si>
  <si>
    <t>SEGMENT: Account Age (7 Bins) - Overall</t>
  </si>
  <si>
    <t>Bin</t>
  </si>
  <si>
    <t>LT2YR_OLD</t>
  </si>
  <si>
    <t>BT2_4YR_OLD</t>
  </si>
  <si>
    <t>BT4_6YR_OLD</t>
  </si>
  <si>
    <t>BT6_8YR_OLD</t>
  </si>
  <si>
    <t>BT8_10YR_OLD</t>
  </si>
  <si>
    <t>BT10_12YR_OLD</t>
  </si>
  <si>
    <t>GT12YR_OLD</t>
  </si>
  <si>
    <t>SEGMENT: Account Age (7 Bins) - Circlebacks</t>
  </si>
  <si>
    <t>SEGMENT: Account Age (7 Bins) - Undecideds</t>
  </si>
  <si>
    <t> Lift tells you how many times more targets you catch by using the model, compared to picking randomly</t>
  </si>
  <si>
    <t>Circlebacks</t>
  </si>
  <si>
    <t>Undecideds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</si>
</sst>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00"/>
    <numFmt numFmtId="165" formatCode="0.0000"/>
    <numFmt numFmtId="166" formatCode="_(* #,##0_);_(* \(#,##0\);_(* &quot;-&quot;??_);_(@_)"/>
    <numFmt numFmtId="167" formatCode="_(* #,##0.00000000_);_(* \(#,##0.000000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61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5" fillId="3" borderId="0" applyNumberFormat="0" applyBorder="0" applyAlignment="0" applyProtection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quotePrefix="1" applyFont="1"/>
    <xf numFmtId="0" fontId="1" fillId="2" borderId="0" xfId="1"/>
    <xf numFmtId="0" fontId="7" fillId="2" borderId="0" xfId="1" applyFont="1"/>
    <xf numFmtId="0" fontId="4" fillId="0" borderId="0" xfId="0" quotePrefix="1" applyFont="1"/>
    <xf numFmtId="0" fontId="4" fillId="0" borderId="0" xfId="0" applyFont="1"/>
    <xf numFmtId="0" fontId="7" fillId="2" borderId="0" xfId="1" applyFont="1" applyAlignment="1">
      <alignment wrapText="1"/>
    </xf>
    <xf numFmtId="0" fontId="0" fillId="0" borderId="0" xfId="0" quotePrefix="1"/>
    <xf numFmtId="0" fontId="9" fillId="0" borderId="1" xfId="0" applyFont="1" applyBorder="1" applyAlignment="1">
      <alignment horizontal="center" vertical="top"/>
    </xf>
    <xf numFmtId="0" fontId="5" fillId="3" borderId="0" xfId="2"/>
    <xf numFmtId="164" fontId="0" fillId="0" borderId="0" xfId="0" applyNumberFormat="1"/>
    <xf numFmtId="0" fontId="6" fillId="0" borderId="0" xfId="0" applyFont="1"/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3" fillId="4" borderId="0" xfId="0" applyFont="1" applyFill="1"/>
    <xf numFmtId="0" fontId="0" fillId="0" borderId="2" xfId="0" applyBorder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0" borderId="5" xfId="0" applyBorder="1"/>
    <xf numFmtId="165" fontId="0" fillId="0" borderId="0" xfId="0" applyNumberFormat="1"/>
    <xf numFmtId="0" fontId="10" fillId="6" borderId="4" xfId="0" applyFont="1" applyFill="1" applyBorder="1" applyAlignment="1">
      <alignment horizontal="center" vertical="top"/>
    </xf>
    <xf numFmtId="0" fontId="1" fillId="2" borderId="0" xfId="1" applyAlignment="1">
      <alignment wrapText="1"/>
    </xf>
    <xf numFmtId="0" fontId="12" fillId="7" borderId="0" xfId="0" applyFont="1" applyFill="1"/>
    <xf numFmtId="0" fontId="13" fillId="0" borderId="0" xfId="0" applyFont="1"/>
    <xf numFmtId="0" fontId="12" fillId="7" borderId="2" xfId="0" applyFont="1" applyFill="1" applyBorder="1"/>
    <xf numFmtId="0" fontId="12" fillId="7" borderId="5" xfId="0" applyFont="1" applyFill="1" applyBorder="1"/>
    <xf numFmtId="0" fontId="13" fillId="5" borderId="2" xfId="0" applyFont="1" applyFill="1" applyBorder="1"/>
    <xf numFmtId="0" fontId="13" fillId="5" borderId="5" xfId="0" applyFont="1" applyFill="1" applyBorder="1"/>
    <xf numFmtId="0" fontId="13" fillId="0" borderId="2" xfId="0" applyFont="1" applyBorder="1"/>
    <xf numFmtId="0" fontId="13" fillId="0" borderId="5" xfId="0" applyFont="1" applyBorder="1"/>
    <xf numFmtId="166" fontId="0" fillId="0" borderId="0" xfId="3" applyNumberFormat="1" applyFont="1"/>
    <xf numFmtId="43" fontId="0" fillId="0" borderId="0" xfId="0" applyNumberFormat="1"/>
    <xf numFmtId="0" fontId="0" fillId="0" borderId="0" xfId="4" applyNumberFormat="1" applyFont="1"/>
    <xf numFmtId="167" fontId="0" fillId="0" borderId="0" xfId="0" applyNumberFormat="1"/>
    <xf numFmtId="0" fontId="3" fillId="0" borderId="0" xfId="0" quotePrefix="1" applyFont="1" applyAlignment="1"/>
  </cellXfs>
  <cellStyles count="5">
    <cellStyle name="Comma" xfId="3" builtinId="3"/>
    <cellStyle name="Good" xfId="1" builtinId="26"/>
    <cellStyle name="Neutral" xfId="2" builtinId="28"/>
    <cellStyle name="Normal" xfId="0" builtinId="0"/>
    <cellStyle name="Percent" xfId="4" builtinId="5"/>
  </cellStyles>
  <dxfs count="403">
    <dxf>
      <numFmt numFmtId="0" formatCode="General"/>
    </dxf>
    <dxf>
      <numFmt numFmtId="165" formatCode="0.0000"/>
    </dxf>
    <dxf>
      <numFmt numFmtId="165" formatCode="0.0000"/>
    </dxf>
    <dxf>
      <numFmt numFmtId="165" formatCode="0.000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Aptos Narrow"/>
        <family val="2"/>
        <scheme val="minor"/>
      </font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7" formatCode="_(* #,##0.00000000_);_(* \(#,##0.0000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</dxf>
    <dxf>
      <numFmt numFmtId="166" formatCode="_(* #,##0_);_(* \(#,##0\);_(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4" formatCode="0.000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64304</xdr:colOff>
      <xdr:row>109</xdr:row>
      <xdr:rowOff>8038</xdr:rowOff>
    </xdr:from>
    <xdr:to>
      <xdr:col>5</xdr:col>
      <xdr:colOff>1079183</xdr:colOff>
      <xdr:row>128</xdr:row>
      <xdr:rowOff>16076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532356-5F0E-4D5B-6875-A540B1C4A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190" y="9235633"/>
          <a:ext cx="5569236" cy="3520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</xdr:rowOff>
    </xdr:from>
    <xdr:to>
      <xdr:col>7</xdr:col>
      <xdr:colOff>676275</xdr:colOff>
      <xdr:row>29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786465-A3E6-E935-6699-20433898A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9201"/>
          <a:ext cx="8562975" cy="3695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1229471</xdr:colOff>
      <xdr:row>13</xdr:row>
      <xdr:rowOff>160058</xdr:rowOff>
    </xdr:from>
    <xdr:to>
      <xdr:col>7</xdr:col>
      <xdr:colOff>321668</xdr:colOff>
      <xdr:row>29</xdr:row>
      <xdr:rowOff>25588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59700C-9D98-BFAC-E452-1E3F04A19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7442" y="2490882"/>
          <a:ext cx="4807197" cy="2731060"/>
        </a:xfrm>
        <a:prstGeom prst="rect">
          <a:avLst/>
        </a:prstGeom>
      </xdr:spPr>
    </xdr:pic>
    <xdr:clientData/>
  </xdr:twoCellAnchor>
  <xdr:twoCellAnchor editAs="oneCell">
    <xdr:from>
      <xdr:col>4</xdr:col>
      <xdr:colOff>2615</xdr:colOff>
      <xdr:row>106</xdr:row>
      <xdr:rowOff>28762</xdr:rowOff>
    </xdr:from>
    <xdr:to>
      <xdr:col>8</xdr:col>
      <xdr:colOff>268941</xdr:colOff>
      <xdr:row>120</xdr:row>
      <xdr:rowOff>134471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DA9E9-C228-0F5A-4C47-CB7BEE3C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5644" y="19403733"/>
          <a:ext cx="6283885" cy="26158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hxonline.sharepoint.com/sites/EnterpriseDataScience-DataScienceProjects/Shared%20Documents/Data%20Science%20Projects/Retraining%20Framework/PSR4/PSR4-EDA.xlsx" TargetMode="External"/><Relationship Id="rId1" Type="http://schemas.openxmlformats.org/officeDocument/2006/relationships/externalLinkPath" Target="PSR4-E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Profiling"/>
      <sheetName val="Data Preprocessing"/>
      <sheetName val="Univariate-Numerical"/>
      <sheetName val="Univariate-Categorical"/>
      <sheetName val="Correlation"/>
    </sheetNames>
    <sheetDataSet>
      <sheetData sheetId="0"/>
      <sheetData sheetId="1">
        <row r="20">
          <cell r="C20">
            <v>0.10070555329152846</v>
          </cell>
          <cell r="F20">
            <v>0.15363045773605175</v>
          </cell>
          <cell r="I20">
            <v>8.2081904536675729E-2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52D92C-C5DC-4DA9-8A20-31FC43D03BD7}" name="Table7" displayName="Table7" ref="A3:J14" totalsRowCount="1" headerRowCellStyle="Normal" dataCellStyle="Normal">
  <autoFilter ref="A3:J13" xr:uid="{DB52D92C-C5DC-4DA9-8A20-31FC43D03BD7}"/>
  <tableColumns count="10">
    <tableColumn id="1" xr3:uid="{4E64B504-1248-46BD-A501-38AB2A82C148}" name="Index" totalsRowDxfId="267" dataCellStyle="Normal"/>
    <tableColumn id="2" xr3:uid="{828F2806-1A6D-4CD2-BAC4-E3763DCF48DC}" name="Counts" totalsRowDxfId="266" dataCellStyle="Normal"/>
    <tableColumn id="3" xr3:uid="{E7BCE2D6-2337-4EB5-89E1-478D35076264}" name="Positive Target" totalsRowDxfId="265" dataCellStyle="Normal"/>
    <tableColumn id="4" xr3:uid="{41B5AB79-E2CD-4115-A220-71324A06FF97}" name="Target Rate" totalsRowDxfId="264" dataCellStyle="Normal"/>
    <tableColumn id="5" xr3:uid="{4A70C1C6-3BD9-46FF-A7B4-BE00BA16792C}" name="Overall_Target PCT" totalsRowDxfId="263" dataCellStyle="Normal"/>
    <tableColumn id="6" xr3:uid="{859D72ED-BBD1-4490-8169-73D41FA3BCE3}" name="MIN PROB_OF_YES" totalsRowDxfId="262" dataCellStyle="Normal"/>
    <tableColumn id="7" xr3:uid="{25D0B381-6D01-43A2-957B-7DC2A4CFAA6A}" name="Max PROB_OF_YES" totalsRowDxfId="261" dataCellStyle="Normal"/>
    <tableColumn id="8" xr3:uid="{BA8A9C56-242C-4115-9926-C91FE1CD369C}" name="Mean PROB_OF_YES" totalsRowDxfId="260" dataCellStyle="Normal"/>
    <tableColumn id="9" xr3:uid="{2A575933-1962-419D-920E-4825021CC102}" name="Median PROB_OF_YES" totalsRowDxfId="259" dataCellStyle="Normal"/>
    <tableColumn id="10" xr3:uid="{9BB1B13E-C389-4CBC-B7A3-EB6945BBF0BA}" name="Std PROB_OF_YES" totalsRowDxfId="258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0AC878-9D98-49D4-BE17-4E47E75C7EF7}" name="Table9" displayName="Table9" ref="A17:J38" totalsRowCount="1" headerRowCellStyle="Normal" dataCellStyle="Normal">
  <autoFilter ref="A17:J37" xr:uid="{420AC878-9D98-49D4-BE17-4E47E75C7EF7}"/>
  <tableColumns count="10">
    <tableColumn id="9" xr3:uid="{FEFBB5D5-1545-40DC-9F67-958735185C03}" name="Index" totalsRowDxfId="257" dataCellStyle="Normal"/>
    <tableColumn id="1" xr3:uid="{D40E79A7-037C-4057-BA8B-E63E66900CFB}" name="Counts" totalsRowFunction="custom" totalsRowDxfId="256" dataCellStyle="Normal">
      <totalsRowFormula>SUM(Table9[Counts])</totalsRowFormula>
    </tableColumn>
    <tableColumn id="2" xr3:uid="{482B3971-A81A-488E-947A-BBBFF4B2D5A6}" name="Positive Target" totalsRowFunction="custom" totalsRowDxfId="255" dataCellStyle="Normal">
      <totalsRowFormula>SUM(Table9[Positive Target])</totalsRowFormula>
    </tableColumn>
    <tableColumn id="3" xr3:uid="{CFDD5137-72F2-42FF-9C84-91373834144D}" name="Target Rate" totalsRowFunction="custom" totalsRowDxfId="254" dataCellStyle="Normal">
      <totalsRowFormula>Table9[[#Totals],[Positive Target]]/Table9[[#Totals],[Counts]]*100</totalsRowFormula>
    </tableColumn>
    <tableColumn id="4" xr3:uid="{647E75C3-C435-4BC3-A554-859F4B0A34A4}" name="Overall_Target PCT" totalsRowDxfId="253" dataCellStyle="Normal"/>
    <tableColumn id="5" xr3:uid="{70283298-8E33-4879-ABDF-EC1CF24DFBFE}" name="Min PROB_OF_YES" totalsRowDxfId="252" dataCellStyle="Normal"/>
    <tableColumn id="6" xr3:uid="{1C38EE52-6A9A-4B72-9F30-27871C5DB7ED}" name="Max PROB_OF_YES" totalsRowDxfId="251" dataCellStyle="Normal"/>
    <tableColumn id="7" xr3:uid="{31DC1F71-660A-4AE3-BA26-DC0C2A5261AD}" name="Mean PROB_OF_YES" totalsRowDxfId="250" dataCellStyle="Normal"/>
    <tableColumn id="8" xr3:uid="{5CBA5B3F-6228-44C1-90E6-AD8A71BAADAD}" name="Std PROB_OF_YES" totalsRowDxfId="249" dataCellStyle="Normal"/>
    <tableColumn id="10" xr3:uid="{5C91A0B4-D14F-47BE-BCA0-61F4DA6E9F95}" name="Lift" dataDxfId="248" totalsRowDxfId="247" dataCellStyle="Normal">
      <calculatedColumnFormula>Table9[[#This Row],[Target Rate]]/Table9[[#Totals],[Target Rate]]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483F0672-D49F-43E9-935F-A30E162DA2AA}" name="Table986" displayName="Table986" ref="L17:Q27" totalsRowShown="0" headerRowCellStyle="Normal" dataCellStyle="Normal">
  <autoFilter ref="L17:Q27" xr:uid="{483F0672-D49F-43E9-935F-A30E162DA2AA}"/>
  <tableColumns count="6">
    <tableColumn id="9" xr3:uid="{E7BB3FD0-C9DF-4B27-B007-9B9DFF7EABCE}" name="Index" totalsRowDxfId="246" dataCellStyle="Normal"/>
    <tableColumn id="1" xr3:uid="{3DF66AAB-631C-40B7-AF62-581D5B6DCCC8}" name="Counts" dataDxfId="245" totalsRowDxfId="244" dataCellStyle="Normal">
      <calculatedColumnFormula>Table9[[#This Row],[Counts]]+B19</calculatedColumnFormula>
    </tableColumn>
    <tableColumn id="2" xr3:uid="{E9C4348E-4488-4CDD-AB7B-0EEE8BE068CA}" name="Positive Target" dataDxfId="243" totalsRowDxfId="242" dataCellStyle="Normal">
      <calculatedColumnFormula>Table9[[#This Row],[Positive Target]]+C19</calculatedColumnFormula>
    </tableColumn>
    <tableColumn id="3" xr3:uid="{4712F6CC-8364-4FD1-989A-A035821DB0B4}" name="Target Rate" dataDxfId="241" totalsRowDxfId="240" dataCellStyle="Normal">
      <calculatedColumnFormula>Table986[[#This Row],[Positive Target]]/Table986[[#This Row],[Counts]]*100</calculatedColumnFormula>
    </tableColumn>
    <tableColumn id="4" xr3:uid="{9C422727-E6D9-40D5-9367-6B4D4CC50D5A}" name="Overall_Target PCT" dataDxfId="239" totalsRowDxfId="238" dataCellStyle="Normal">
      <calculatedColumnFormula>Table986[[#This Row],[Positive Target]]/Table9[[#Totals],[Positive Target]]*100</calculatedColumnFormula>
    </tableColumn>
    <tableColumn id="10" xr3:uid="{E2CFE0E7-8052-4372-95E2-B934541DC05A}" name="Lift" dataDxfId="237" totalsRowDxfId="236" dataCellStyle="Normal">
      <calculatedColumnFormula>Table986[[#This Row],[Target Rate]]/Table9[[#Totals],[Target Rate]]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F82105-C669-4EC4-B34D-B4BDC628200F}" name="Table86" displayName="Table86" ref="A41:H62" totalsRowCount="1" headerRowDxfId="235" dataDxfId="234">
  <autoFilter ref="A41:H61" xr:uid="{A1F82105-C669-4EC4-B34D-B4BDC628200F}"/>
  <tableColumns count="8">
    <tableColumn id="1" xr3:uid="{8C79C554-970C-4DA3-AE49-F151719E7D3E}" name="Counts" totalsRowFunction="custom" dataDxfId="233" totalsRowDxfId="232">
      <totalsRowFormula>SUM(Table86[Counts])</totalsRowFormula>
    </tableColumn>
    <tableColumn id="2" xr3:uid="{A06E7157-A956-42BC-BBF8-FABD41EB4147}" name="Positive Target" totalsRowFunction="custom" dataDxfId="231" totalsRowDxfId="230">
      <totalsRowFormula>SUM(Table86[Positive Target])</totalsRowFormula>
    </tableColumn>
    <tableColumn id="3" xr3:uid="{B0740577-769F-432E-9955-2A7DB57B3B3F}" name="Target Rate" totalsRowFunction="custom" dataDxfId="229" totalsRowDxfId="228">
      <totalsRowFormula>Table86[[#Totals],[Positive Target]]/Table86[[#Totals],[Counts]]*100</totalsRowFormula>
    </tableColumn>
    <tableColumn id="4" xr3:uid="{6804A4F7-EEBB-4A04-9C35-00B8B3E7A84D}" name="Overall_Target PCT" dataDxfId="227" totalsRowDxfId="226"/>
    <tableColumn id="5" xr3:uid="{134CCBDF-3043-4660-8204-A944EC70DAE1}" name="Min PROB_OF_YES" dataDxfId="225" totalsRowDxfId="224"/>
    <tableColumn id="6" xr3:uid="{6FC4845E-C6DF-494D-8A96-02383A8A82A4}" name="Max PROB_OF_YES" dataDxfId="223" totalsRowDxfId="222"/>
    <tableColumn id="7" xr3:uid="{4BE8B8E6-BFCA-413B-9746-260B84DD0ED6}" name="Mean PROB_OF_YES" dataDxfId="221" totalsRowDxfId="220"/>
    <tableColumn id="8" xr3:uid="{89519985-67AF-4E9A-9198-E4ED365915DD}" name="Std PROB_OF_YES" dataDxfId="219" totalsRowDxfId="2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44E8E144-6B04-4296-A3AC-77534BB389B2}" name="Table87" displayName="Table87" ref="A66:H87" totalsRowCount="1" headerRowDxfId="217" dataDxfId="216">
  <autoFilter ref="A66:H86" xr:uid="{44E8E144-6B04-4296-A3AC-77534BB389B2}"/>
  <tableColumns count="8">
    <tableColumn id="1" xr3:uid="{163877AA-5970-44C5-9E5A-7EE0D1E5DE1A}" name="Counts" totalsRowFunction="custom" dataDxfId="215" totalsRowDxfId="214">
      <totalsRowFormula>SUM(Table87[Counts])</totalsRowFormula>
    </tableColumn>
    <tableColumn id="2" xr3:uid="{52B77481-ABCF-4A8E-BA05-3DAAE63384D1}" name="Positive Target" totalsRowFunction="custom" dataDxfId="213" totalsRowDxfId="212">
      <totalsRowFormula>SUM(Table87[Positive Target])</totalsRowFormula>
    </tableColumn>
    <tableColumn id="3" xr3:uid="{24447C8A-ABCF-405E-A1EF-CE993091BD01}" name="Target Rate" totalsRowFunction="custom" dataDxfId="211" totalsRowDxfId="210">
      <totalsRowFormula>Table87[[#Totals],[Positive Target]]/Table87[[#Totals],[Counts]]*100</totalsRowFormula>
    </tableColumn>
    <tableColumn id="4" xr3:uid="{E6AE50F1-7DE9-41E6-84EE-7DB7616BDD7D}" name="Overall_Target PCT" dataDxfId="209" totalsRowDxfId="208"/>
    <tableColumn id="5" xr3:uid="{31B6637E-AA9F-42E7-B1EC-792BD8201ADE}" name="Min PROB_OF_YES" dataDxfId="207" totalsRowDxfId="206"/>
    <tableColumn id="6" xr3:uid="{CBB56D7E-4B9F-40E2-8678-9248A3F9E8C7}" name="Max PROB_OF_YES" dataDxfId="205" totalsRowDxfId="204"/>
    <tableColumn id="7" xr3:uid="{95438E52-6C98-47E5-8FD6-DFDEF72FBBC4}" name="Mean PROB_OF_YES" dataDxfId="203" totalsRowDxfId="202"/>
    <tableColumn id="8" xr3:uid="{16782F26-5E40-4FFE-951D-73C5BCB8491B}" name="Std PROB_OF_YES" dataDxfId="201" totalsRowDxfId="2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63740-CA9D-4E98-B636-545902BF307B}" name="Table13" displayName="Table13" ref="A8:K14" totalsRowShown="0" headerRowDxfId="199" dataDxfId="198">
  <autoFilter ref="A8:K14" xr:uid="{5CEB5619-B5DA-4FF8-9B2E-1A48AB809D07}"/>
  <tableColumns count="11">
    <tableColumn id="1" xr3:uid="{B36110AD-4B9C-4412-82A7-A51DD3D24D04}" name="Model Name" dataDxfId="197"/>
    <tableColumn id="2" xr3:uid="{B47E525F-1B3A-43DC-9335-7AAEA25D2C40}" name="Dataset" dataDxfId="196"/>
    <tableColumn id="3" xr3:uid="{AB4DBFCD-6876-464D-B798-CF56B4250291}" name="AUC" dataDxfId="195"/>
    <tableColumn id="4" xr3:uid="{597A8A06-D1DA-4502-BCFF-6E6EB20BCE49}" name="Accuracy" dataDxfId="194"/>
    <tableColumn id="5" xr3:uid="{2061EDD4-80D1-4A46-B400-E15B8715DC97}" name="Precision" dataDxfId="193"/>
    <tableColumn id="6" xr3:uid="{D22AEB0C-C86A-46BF-8708-D6BB47E3768A}" name="Recall" dataDxfId="192"/>
    <tableColumn id="7" xr3:uid="{8457CADD-C7FC-433E-B0FB-668B8BF213B6}" name="F1" dataDxfId="191"/>
    <tableColumn id="8" xr3:uid="{107DA648-1904-4725-BA53-5049E260B161}" name="Decile-1  Capture %" dataDxfId="190"/>
    <tableColumn id="9" xr3:uid="{A2E783EF-180D-41B0-AB86-78937AD47397}" name="Decile-2  Capture %" dataDxfId="189"/>
    <tableColumn id="10" xr3:uid="{13270B2B-B1C6-4E9A-86B0-8477F539DED0}" name="Decile-3  Capture %" dataDxfId="188"/>
    <tableColumn id="11" xr3:uid="{093E992B-07FE-4FD2-AEB8-CA786A03AA24}" name="Top 3 Deciles Capture %" dataDxfId="187">
      <calculatedColumnFormula>Table13[[#This Row],[Decile-1  Capture %]]+Table13[[#This Row],[Decile-2  Capture %]]+Table13[[#This Row],[Decile-3  Capture %]]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1399F6-5200-4602-88BE-4655F97138C3}" name="Table14" displayName="Table14" ref="A18:K24" totalsRowShown="0" headerRowDxfId="186" dataDxfId="185">
  <autoFilter ref="A18:K24" xr:uid="{651399F6-5200-4602-88BE-4655F97138C3}"/>
  <tableColumns count="11">
    <tableColumn id="1" xr3:uid="{9AA3CAE4-E371-49A4-8780-A12814E62F48}" name="Model Name" dataDxfId="184"/>
    <tableColumn id="2" xr3:uid="{7192DDAA-3DE3-4090-90EF-6F2FC5AEDAFF}" name="Dataset" dataDxfId="183"/>
    <tableColumn id="3" xr3:uid="{695A49F6-1C7B-4EB7-8A8C-EDE2B1D36A34}" name="AUC" dataDxfId="182"/>
    <tableColumn id="4" xr3:uid="{1E67B4B3-ED6E-4BE9-B594-FA484B1455B3}" name="Accuracy" dataDxfId="181"/>
    <tableColumn id="5" xr3:uid="{12FE69FA-75DF-4920-8291-4484D8E4B8C6}" name="Precision" dataDxfId="180"/>
    <tableColumn id="6" xr3:uid="{7944B305-964B-4F8C-9E87-D54F00254398}" name="Recall" dataDxfId="179"/>
    <tableColumn id="7" xr3:uid="{F993A2DF-5143-4DDB-8F22-9CC39E9D6F66}" name="F1" dataDxfId="178"/>
    <tableColumn id="8" xr3:uid="{0A469BF4-F71B-4031-9D9C-234E988089AA}" name="Decile-1  Capture %" dataDxfId="177"/>
    <tableColumn id="9" xr3:uid="{386EB85A-047F-47F0-B0CC-24411B9F36C8}" name="Decile-2  Capture %" dataDxfId="176"/>
    <tableColumn id="10" xr3:uid="{0357650D-7648-437C-A3B7-02E90F25C7D9}" name="Decile-3  Capture %" dataDxfId="175"/>
    <tableColumn id="11" xr3:uid="{7109639A-1393-4C15-A3D3-BE2501BCC523}" name="Top 3 Deciles Capture %" dataDxfId="174">
      <calculatedColumnFormula>H19+I19+J19</calculatedColumnFormula>
    </tableColumn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6D18778-74B1-4CEA-898A-228C36EC85C8}" name="Table1329" displayName="Table1329" ref="A28:K40" totalsRowShown="0" headerRowDxfId="173" dataDxfId="172" headerRowCellStyle="Normal" dataCellStyle="Normal">
  <autoFilter ref="A28:K40" xr:uid="{66D18778-74B1-4CEA-898A-228C36EC85C8}"/>
  <tableColumns count="11">
    <tableColumn id="1" xr3:uid="{0193CD91-5DF5-475F-8CD8-EA1D1C11220D}" name="Model Name" dataDxfId="171" dataCellStyle="Normal"/>
    <tableColumn id="2" xr3:uid="{2C3BEB96-0667-423C-8D5B-6B47451129C6}" name="Dataset" dataDxfId="170" dataCellStyle="Normal"/>
    <tableColumn id="3" xr3:uid="{02486F3F-69BF-4329-8EB7-2DFC70A8B315}" name="AUC" dataDxfId="169" dataCellStyle="Normal"/>
    <tableColumn id="4" xr3:uid="{A32CD44C-BA47-4EB3-A10C-17447D84028B}" name="Accuracy" dataDxfId="168" dataCellStyle="Normal"/>
    <tableColumn id="5" xr3:uid="{FA803B93-FBFE-419A-AAE0-6EA9497A6CB6}" name="Precision" dataDxfId="167" dataCellStyle="Normal"/>
    <tableColumn id="6" xr3:uid="{752D0BE7-2976-4CD9-9B77-B263ABCC309D}" name="Recall" dataDxfId="166" dataCellStyle="Normal"/>
    <tableColumn id="7" xr3:uid="{49165ABF-2681-4AF2-A30B-14DDEA9A7198}" name="F1" dataDxfId="165" dataCellStyle="Normal"/>
    <tableColumn id="8" xr3:uid="{DF2F08F4-1E6A-4026-B413-B0DB997DB75A}" name="Decile-1  Capture %" dataDxfId="164" dataCellStyle="Normal"/>
    <tableColumn id="9" xr3:uid="{D49E99EA-0870-4BC9-BF69-321AD86CA407}" name="Decile-2  Capture %" dataDxfId="163" dataCellStyle="Normal"/>
    <tableColumn id="10" xr3:uid="{BC61ADA9-F255-4D43-91AD-66EE814C123D}" name="Decile-3  Capture %" dataDxfId="162" dataCellStyle="Normal"/>
    <tableColumn id="11" xr3:uid="{FDDE8CCA-805F-4CC1-AABF-4EAD91337941}" name="Top 3 Deciles Capture %" dataDxfId="161" dataCellStyle="Normal">
      <calculatedColumnFormula>Table1329[[#This Row],[Decile-1  Capture %]]+Table1329[[#This Row],[Decile-2  Capture %]]+Table1329[[#This Row],[Decile-3  Capture %]]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30F379E-6F11-4867-84AA-6212C6B8DE25}" name="Table1411" displayName="Table1411" ref="A55:K58" totalsRowShown="0" headerRowDxfId="160" dataDxfId="159">
  <autoFilter ref="A55:K58" xr:uid="{430F379E-6F11-4867-84AA-6212C6B8DE25}"/>
  <tableColumns count="11">
    <tableColumn id="1" xr3:uid="{DB37B8A1-CA90-49C5-AAA5-F7F776433055}" name="Model Name" dataDxfId="158"/>
    <tableColumn id="2" xr3:uid="{C6867B38-5852-4F9D-9AEA-9D35A4B4B9CA}" name="Dataset" dataDxfId="157"/>
    <tableColumn id="3" xr3:uid="{B919F3DF-F356-4562-8A90-7F7D2FE1A045}" name="AUC" dataDxfId="156"/>
    <tableColumn id="4" xr3:uid="{BEE0B5E2-6EC1-4D85-B19A-8FCA2D438A9D}" name="Accuracy" dataDxfId="155"/>
    <tableColumn id="5" xr3:uid="{34B9F7DC-4415-4602-ADA9-6E3288FA52E0}" name="Precision" dataDxfId="154"/>
    <tableColumn id="6" xr3:uid="{14DD44FD-7CDD-45EC-93ED-B0A238AC4BC5}" name="Recall" dataDxfId="153"/>
    <tableColumn id="7" xr3:uid="{CAE4A06E-3617-42E8-8ABF-B8D841B826A3}" name="F1" dataDxfId="152"/>
    <tableColumn id="8" xr3:uid="{9C2660E7-5005-4A56-875A-2F585B97B45C}" name="Decile-1  Capture %" dataDxfId="151"/>
    <tableColumn id="9" xr3:uid="{9C7145B2-2514-4EDD-B33A-717FEB2A93F3}" name="Decile-2  Capture %" dataDxfId="150"/>
    <tableColumn id="10" xr3:uid="{3CDA58F5-FD8E-472D-A21F-3ED9CA22B623}" name="Decile-3  Capture %" dataDxfId="149"/>
    <tableColumn id="11" xr3:uid="{5963D5A8-EE09-486B-8D9D-540F320AC1F9}" name="Top 3 Deciles Capture %" dataDxfId="148">
      <calculatedColumnFormula>H56+I56+J56</calculatedColumn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7713B0-E5DF-469E-A1BF-D2552311A6BA}" name="Table141112" displayName="Table141112" ref="A62:K65" totalsRowShown="0" headerRowDxfId="147" dataDxfId="146">
  <autoFilter ref="A62:K65" xr:uid="{AB7713B0-E5DF-469E-A1BF-D2552311A6BA}"/>
  <tableColumns count="11">
    <tableColumn id="1" xr3:uid="{0C7305AA-CCDD-4C00-A21B-662A83518296}" name="Model Name" dataDxfId="145"/>
    <tableColumn id="2" xr3:uid="{A09B9D50-5099-4B4A-B4A5-CD0D4088465A}" name="Dataset" dataDxfId="144"/>
    <tableColumn id="3" xr3:uid="{F7BE0F79-BA6D-4C77-8356-9DEF876C8510}" name="AUC" dataDxfId="143"/>
    <tableColumn id="4" xr3:uid="{F0E12870-B5DC-40CB-8398-AF88C2BA8CA7}" name="Accuracy" dataDxfId="142"/>
    <tableColumn id="5" xr3:uid="{2BCB6B24-BC5E-446D-85C5-D2C3244DB60E}" name="Precision" dataDxfId="141"/>
    <tableColumn id="6" xr3:uid="{498F8144-BBAB-46AD-AF59-1BE0AB079E41}" name="Recall" dataDxfId="140"/>
    <tableColumn id="7" xr3:uid="{729B5BAF-AE5A-43A0-84E9-2EC0D14A600E}" name="F1" dataDxfId="139"/>
    <tableColumn id="8" xr3:uid="{02A79474-566E-4A2F-905C-B285324FFC44}" name="Decile-1  Capture %" dataDxfId="138"/>
    <tableColumn id="9" xr3:uid="{51AE88A8-40BC-4C98-AE9A-378CA2D24F23}" name="Decile-2  Capture %" dataDxfId="137"/>
    <tableColumn id="10" xr3:uid="{C500A27D-2F27-4851-9EDB-1D3367ED3D86}" name="Decile-3  Capture %" dataDxfId="136"/>
    <tableColumn id="11" xr3:uid="{990A740D-B536-4186-B292-46123C184573}" name="Top 3 Deciles Capture %" dataDxfId="135">
      <calculatedColumnFormula>H63+I63+J63</calculatedColumnFormula>
    </tableColumn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FA05EB-BF04-48F4-8E89-C73F6F5C635C}" name="Table1413" displayName="Table1413" ref="A45:K51" totalsRowShown="0" headerRowDxfId="134" dataDxfId="133">
  <autoFilter ref="A45:K51" xr:uid="{C5FA05EB-BF04-48F4-8E89-C73F6F5C635C}"/>
  <tableColumns count="11">
    <tableColumn id="1" xr3:uid="{3683F654-06DC-4CF2-AF70-470595D74524}" name="Model Name" dataDxfId="132"/>
    <tableColumn id="2" xr3:uid="{4AD8AE88-196A-47C9-AE37-A5273C0677DB}" name="Dataset" dataDxfId="131"/>
    <tableColumn id="3" xr3:uid="{4ADAF428-AE9B-43C3-9E7D-DE505D6F31F2}" name="AUC" dataDxfId="130"/>
    <tableColumn id="4" xr3:uid="{1A3067BE-A137-429B-90B2-C3EC8BDA141A}" name="Accuracy" dataDxfId="129"/>
    <tableColumn id="5" xr3:uid="{94B3F073-BCAF-4224-82FA-AE9B5DEB17AF}" name="Precision" dataDxfId="128"/>
    <tableColumn id="6" xr3:uid="{CFDD04C4-13DB-4AF2-9835-54D8ACE194C1}" name="Recall" dataDxfId="127"/>
    <tableColumn id="7" xr3:uid="{653081DE-A665-4DAA-BB8C-E94068F86406}" name="F1" dataDxfId="126"/>
    <tableColumn id="8" xr3:uid="{13CF7F6E-9E6E-457B-BD9F-47044052664E}" name="Decile-1  Capture %" dataDxfId="125"/>
    <tableColumn id="9" xr3:uid="{166249CD-3C0E-4A5A-AEFD-6158FC96A911}" name="Decile-2  Capture %" dataDxfId="124"/>
    <tableColumn id="10" xr3:uid="{836C0504-5F6F-4030-99FD-C6550970D3E2}" name="Decile-3  Capture %" dataDxfId="123"/>
    <tableColumn id="11" xr3:uid="{6E5F0FCA-612A-438A-AA50-83FFA1C1D3F5}" name="Top 3 Deciles Capture %" dataDxfId="122">
      <calculatedColumnFormula>Table1413[[#This Row],[Decile-1  Capture %]]+Table1413[[#This Row],[Decile-2  Capture %]]+Table1413[[#This Row],[Decile-3  Capture %]]</calculatedColumnFormula>
    </tableColumn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D336799-DC48-41EB-BB44-1498666F319C}" name="Table30" displayName="Table30" ref="A3:K13" totalsRowShown="0" headerRowDxfId="121" headerRowBorderDxfId="120" tableBorderDxfId="119">
  <autoFilter ref="A3:K13" xr:uid="{0D336799-DC48-41EB-BB44-1498666F319C}"/>
  <tableColumns count="11">
    <tableColumn id="10" xr3:uid="{DFDEB5AD-9EAD-4C10-BCEB-505148D7961C}" name="Decile"/>
    <tableColumn id="1" xr3:uid="{0196BA88-192D-415E-B863-0E8C810140ED}" name="Counts"/>
    <tableColumn id="2" xr3:uid="{41A228CC-90B6-4F70-95E7-A53EFDBDE0C6}" name="Positive Target"/>
    <tableColumn id="3" xr3:uid="{426DB67E-EB9F-41AE-BA00-9B60579B5C8A}" name="Target Rate"/>
    <tableColumn id="4" xr3:uid="{0FF9CA62-0DAE-441E-8164-AD9D64CED2D4}" name="Overall_Target PCT"/>
    <tableColumn id="5" xr3:uid="{0BB0B439-6B89-4F4F-A3E1-61A2ACA36460}" name="Min PROB_OF_YES"/>
    <tableColumn id="6" xr3:uid="{51342303-985D-4A0A-8CB4-CB8908FE1A6B}" name="Max PROB_OF_YES"/>
    <tableColumn id="7" xr3:uid="{7CD754B6-BB22-4595-9553-F0CD348623F8}" name="Mean PROB_OF_YES"/>
    <tableColumn id="8" xr3:uid="{75CF5CE1-A884-4084-A28E-7DC8CB42AA39}" name="Median PROB_OF_YES"/>
    <tableColumn id="9" xr3:uid="{9DBC8520-9051-4E17-9792-CDB2E7012B18}" name="Std PROB_OF_YES"/>
    <tableColumn id="11" xr3:uid="{52A29BF4-8E4B-4A47-9982-1E6F8DD6D608}" name="Lift" dataDxfId="118">
      <calculatedColumnFormula>Table30[[#This Row],[Target Rate]]/'[1]Data Preprocessing'!$C$20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019083C-82CB-46D0-AF78-746E7537B1FE}" name="Table31" displayName="Table31" ref="M3:W14" totalsRowCount="1" headerRowDxfId="117" headerRowBorderDxfId="116" tableBorderDxfId="115">
  <autoFilter ref="M3:W13" xr:uid="{B019083C-82CB-46D0-AF78-746E7537B1FE}"/>
  <tableColumns count="11">
    <tableColumn id="10" xr3:uid="{147F4C03-25C5-446E-9AE7-B5CA5D24CAD5}" name="Decile"/>
    <tableColumn id="1" xr3:uid="{5B63B0DB-C6D6-447F-970B-09362BC8FB12}" name="Counts" totalsRowFunction="custom">
      <totalsRowFormula>SUM(Table31[Counts])</totalsRowFormula>
    </tableColumn>
    <tableColumn id="2" xr3:uid="{EEA8BEF8-4033-45C3-B9CA-11F0369DEE4B}" name="Positive Target" totalsRowFunction="custom">
      <totalsRowFormula>SUM(Table31[Positive Target])</totalsRowFormula>
    </tableColumn>
    <tableColumn id="3" xr3:uid="{D73A2592-1665-4980-84FC-F5488400D8C0}" name="Target Rate" totalsRowFunction="custom">
      <totalsRowFormula>Table31[[#Totals],[Positive Target]]/Table31[[#Totals],[Counts]]*100</totalsRowFormula>
    </tableColumn>
    <tableColumn id="4" xr3:uid="{CDB13B5A-CC47-4C1F-B7A6-7F80B01F9D23}" name="Overall_Target PCT"/>
    <tableColumn id="5" xr3:uid="{C143FC97-F161-41F6-BD0C-9F5D90662176}" name="Min PROB_OF_YES"/>
    <tableColumn id="6" xr3:uid="{D34ACFAB-9954-44A4-91C7-0C35E93E77B3}" name="Max PROB_OF_YES"/>
    <tableColumn id="7" xr3:uid="{DC682C96-838C-4B05-BC8A-127A6DA3CE6C}" name="Mean PROB_OF_YES"/>
    <tableColumn id="8" xr3:uid="{404B2128-C217-4A09-821A-5FA9694B447A}" name="Median PROB_OF_YES"/>
    <tableColumn id="9" xr3:uid="{ECC472BD-EB34-4C87-9B73-0C1B491AAEB1}" name="Std PROB_OF_YES"/>
    <tableColumn id="11" xr3:uid="{58CD7DDB-660C-4DB4-A973-27D975738234}" name="Lift" dataDxfId="114" totalsRowDxfId="113">
      <calculatedColumnFormula>Table31[[#This Row],[Target Rate]]/'[1]Data Preprocessing'!$F$20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07BBFBF-D5CB-467A-AD5C-41B94B558EE1}" name="Table32" displayName="Table32" ref="Y3:AI13" totalsRowShown="0" headerRowDxfId="112" headerRowBorderDxfId="111" tableBorderDxfId="110">
  <autoFilter ref="Y3:AI13" xr:uid="{D07BBFBF-D5CB-467A-AD5C-41B94B558EE1}"/>
  <tableColumns count="11">
    <tableColumn id="10" xr3:uid="{F5D87887-0F94-4649-A576-0DE31C220E08}" name="Decile"/>
    <tableColumn id="1" xr3:uid="{97BC68CF-7CB7-43C9-B0F4-1604769EDE90}" name="Counts"/>
    <tableColumn id="2" xr3:uid="{4A1D7808-9912-45F6-8B8A-D9D8C069E343}" name="Positive Target"/>
    <tableColumn id="3" xr3:uid="{AFF410C8-DCDB-4075-ADDC-79D64C9EC272}" name="Target Rate"/>
    <tableColumn id="4" xr3:uid="{A60C32BD-4E3E-4E06-9225-C1C7FC3B009B}" name="Overall_Target PCT"/>
    <tableColumn id="5" xr3:uid="{3F27C880-9F46-4289-8B09-1A7D56F70CE6}" name="Min PROB_OF_YES"/>
    <tableColumn id="6" xr3:uid="{91A00346-DB25-4D84-9593-98975C854391}" name="Max PROB_OF_YES"/>
    <tableColumn id="7" xr3:uid="{60BB7A63-1851-4569-9FA7-DB9E6C5E378C}" name="Mean PROB_OF_YES"/>
    <tableColumn id="8" xr3:uid="{D2F0C624-B233-401B-951F-C75B566946FF}" name="Median PROB_OF_YES"/>
    <tableColumn id="9" xr3:uid="{4B99C54E-4FE9-42F2-8AAA-5D3E8075AA03}" name="Std PROB_OF_YES"/>
    <tableColumn id="11" xr3:uid="{035D814C-C8A7-4A6D-B05E-3D0B3AD85919}" name="Lift" dataDxfId="109">
      <calculatedColumnFormula>Table32[[#This Row],[Target Rate]]/'[1]Data Preprocessing'!$I$20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F5796-184C-415C-8BA7-7B08AE49060C}" name="Table272" displayName="Table272" ref="I15:J29" totalsRowShown="0" headerRowDxfId="108" dataDxfId="107">
  <autoFilter ref="I15:J29" xr:uid="{FC9F5796-184C-415C-8BA7-7B08AE49060C}"/>
  <sortState xmlns:xlrd2="http://schemas.microsoft.com/office/spreadsheetml/2017/richdata2" ref="I16:J29">
    <sortCondition descending="1" ref="J15:J29"/>
  </sortState>
  <tableColumns count="2">
    <tableColumn id="1" xr3:uid="{50612C07-9254-4524-B471-183E2B001760}" name="Feature Name" dataDxfId="106"/>
    <tableColumn id="2" xr3:uid="{AB98A1AE-EEF9-4B02-B00A-7D2F9580AF7D}" name="Importance" dataDxfId="10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36FEEC-72FC-4A07-8192-2032AEFB91D6}" name="Table4" displayName="Table4" ref="A98:J108" totalsRowShown="0" headerRowDxfId="104" headerRowBorderDxfId="103" tableBorderDxfId="102">
  <autoFilter ref="A98:J108" xr:uid="{CD36FEEC-72FC-4A07-8192-2032AEFB91D6}"/>
  <tableColumns count="10">
    <tableColumn id="10" xr3:uid="{9DFB067C-C149-47DF-9D14-976824D038D2}" name="Decile"/>
    <tableColumn id="1" xr3:uid="{189C5406-F64E-42BD-830C-B56D4928D5E9}" name="Counts"/>
    <tableColumn id="2" xr3:uid="{6227AECE-CBB9-4669-9574-0B59B178F4BC}" name="Positive Target"/>
    <tableColumn id="3" xr3:uid="{6094FC6E-393D-4C1B-85E2-85E600A83F23}" name="Target Rate"/>
    <tableColumn id="4" xr3:uid="{36FA69CE-7029-4AE4-AE36-B4D260DB235D}" name="Overall_Target PCT"/>
    <tableColumn id="5" xr3:uid="{8708CA0C-9A5B-4FCE-A202-1941D5CFAF3E}" name="Min PROB_OF_YES"/>
    <tableColumn id="6" xr3:uid="{94264788-B9E8-4C66-BB15-C5D5B17D47EC}" name="Max PROB_OF_YES"/>
    <tableColumn id="7" xr3:uid="{BB8FD0F7-7E7F-4488-930B-E9AFE2F77841}" name="Mean PROB_OF_YES"/>
    <tableColumn id="8" xr3:uid="{22844A49-7C15-4B4D-ACAA-6435F1FC9146}" name="Median PROB_OF_YES"/>
    <tableColumn id="9" xr3:uid="{CE3E109A-16D0-43EF-8EE3-16858869049F}" name="Std PROB_OF_Y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53F765-5554-4536-88C2-7EF19A8EEC58}" name="Table5" displayName="Table5" ref="M98:V108" totalsRowShown="0" headerRowDxfId="101" headerRowBorderDxfId="100" tableBorderDxfId="99">
  <autoFilter ref="M98:V108" xr:uid="{0853F765-5554-4536-88C2-7EF19A8EEC58}"/>
  <tableColumns count="10">
    <tableColumn id="10" xr3:uid="{9843483C-EC84-44CC-9A47-EEAE9BAC0872}" name="Decile"/>
    <tableColumn id="1" xr3:uid="{C04C1628-7DAF-4F2C-A7A0-CD399CEB324D}" name="Counts"/>
    <tableColumn id="2" xr3:uid="{C2B6A44A-CD75-4E55-9F3E-656C0B125266}" name="Positive Target"/>
    <tableColumn id="3" xr3:uid="{FDEFAD43-8184-46C6-989A-FF28F5E8FD27}" name="Target Rate"/>
    <tableColumn id="4" xr3:uid="{3C924FF5-C6A3-4499-8F01-B2B4D9B34980}" name="Overall_Target PCT"/>
    <tableColumn id="5" xr3:uid="{EF7FB8EB-3C0B-474E-B364-9556ADA367CD}" name="Min PROB_OF_YES"/>
    <tableColumn id="6" xr3:uid="{47F4AB57-FACF-4B3E-A309-3920C5F0CFC6}" name="Max PROB_OF_YES"/>
    <tableColumn id="7" xr3:uid="{FFDE4944-F52A-46E3-A314-E9484864FB3F}" name="Mean PROB_OF_YES"/>
    <tableColumn id="8" xr3:uid="{C416C0C2-7C6A-4F1E-8C3B-D63126E678D5}" name="Median PROB_OF_YES"/>
    <tableColumn id="9" xr3:uid="{91CB1430-442F-4E28-BC79-804EDD4C86CD}" name="Std PROB_OF_Y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473205A-1371-4CDF-A2D2-82E543AA4527}" name="Table6" displayName="Table6" ref="Y98:AH108" totalsRowShown="0" headerRowDxfId="98" headerRowBorderDxfId="97" tableBorderDxfId="96">
  <autoFilter ref="Y98:AH108" xr:uid="{9473205A-1371-4CDF-A2D2-82E543AA4527}"/>
  <tableColumns count="10">
    <tableColumn id="10" xr3:uid="{14EE3406-1112-47BB-BD42-82CB8D52FAAA}" name="Decile"/>
    <tableColumn id="1" xr3:uid="{E81B0C5B-A939-4CF1-8EC2-30C079E07496}" name="Counts"/>
    <tableColumn id="2" xr3:uid="{23B0F21D-0140-4F34-96D0-72C217E1B773}" name="Positive Target"/>
    <tableColumn id="3" xr3:uid="{AE2B0B5B-C8AE-41B5-84FD-E588D1297F4A}" name="Target Rate"/>
    <tableColumn id="4" xr3:uid="{FDE023BE-EB66-4E35-B1D4-92158CD72A20}" name="Overall_Target PCT"/>
    <tableColumn id="5" xr3:uid="{59883321-06F3-430C-BD2E-46F2CD22FC97}" name="Min PROB_OF_YES"/>
    <tableColumn id="6" xr3:uid="{BE320228-9B47-4A1C-9996-158674CB52E4}" name="Max PROB_OF_YES"/>
    <tableColumn id="7" xr3:uid="{A5A817D9-F2FF-4B37-902D-B41E19D2900E}" name="Mean PROB_OF_YES"/>
    <tableColumn id="8" xr3:uid="{AF5F7FF4-4B1E-4B74-BD35-DD4F4350280E}" name="Median PROB_OF_YES"/>
    <tableColumn id="9" xr3:uid="{B01FA6C2-88CC-4592-9B18-19A33BB10950}" name="Std PROB_OF_YE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5D5555-2A8C-474B-83B0-FE4102C90B69}" name="Table8" displayName="Table8" ref="H110:I124" totalsRowShown="0">
  <autoFilter ref="H110:I124" xr:uid="{A55D5555-2A8C-474B-83B0-FE4102C90B69}"/>
  <tableColumns count="2">
    <tableColumn id="1" xr3:uid="{A035ABC7-758B-4E61-A880-B7E88624EA4A}" name="Feature"/>
    <tableColumn id="2" xr3:uid="{7318569F-5866-4955-A885-62EE4C9BACF0}" name="Importanc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FCFC5D7B-2E13-4976-9485-512FC5197F8A}" name="Table74" displayName="Table74" ref="A34:K45" totalsRowCount="1" headerRowDxfId="95" headerRowBorderDxfId="94" tableBorderDxfId="93">
  <autoFilter ref="A34:K44" xr:uid="{FCFC5D7B-2E13-4976-9485-512FC5197F8A}"/>
  <tableColumns count="11">
    <tableColumn id="10" xr3:uid="{0AF49154-1286-44F1-8E86-9FBFA2E4DA83}" name="Decile"/>
    <tableColumn id="1" xr3:uid="{16267448-A02B-4FFA-B508-7E6DBF944C91}" name="Counts" totalsRowFunction="custom">
      <totalsRowFormula>SUM(Table74[Counts])</totalsRowFormula>
    </tableColumn>
    <tableColumn id="2" xr3:uid="{AEB74C2B-6319-49DC-A4AD-539B4852C34C}" name="Positive Target" totalsRowFunction="custom">
      <totalsRowFormula>SUM(Table74[Positive Target])</totalsRowFormula>
    </tableColumn>
    <tableColumn id="3" xr3:uid="{80B1864A-D8F5-4311-A427-BC0B01914C1A}" name="Target Rate" totalsRowFunction="custom">
      <totalsRowFormula>Table74[[#Totals],[Positive Target]]/Table74[[#Totals],[Counts]]*100</totalsRowFormula>
    </tableColumn>
    <tableColumn id="4" xr3:uid="{D56A102B-6ADB-4CE5-8956-D87BAB82C161}" name="Overall_Target PCT"/>
    <tableColumn id="5" xr3:uid="{293ACB18-6B3B-4787-AF02-427F7A3F487B}" name="Min PROB_OF_YES"/>
    <tableColumn id="6" xr3:uid="{07FFE94B-9364-41A7-A52B-653569A34B31}" name="Max PROB_OF_YES"/>
    <tableColumn id="7" xr3:uid="{EE6AD394-79A2-4A99-A2B5-25A1917FBA87}" name="Mean PROB_OF_YES"/>
    <tableColumn id="8" xr3:uid="{0D4BBE34-2575-4F8A-A9F0-C715469FC111}" name="Median PROB_OF_YES"/>
    <tableColumn id="9" xr3:uid="{D686670E-42AD-4C45-A78F-726568924C06}" name="Std PROB_OF_YES"/>
    <tableColumn id="11" xr3:uid="{42674CE0-5CF0-4170-AE12-5CB369802132}" name="Lift" dataDxfId="92" totalsRowDxfId="91">
      <calculatedColumnFormula>Table74[[#This Row],[Target Rate]]/Table74[[#Totals],[Target Rate]]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79D60165-72D4-4DA4-88D7-DFA5FD2AC917}" name="Table75" displayName="Table75" ref="A48:K59" totalsRowCount="1" headerRowDxfId="90" headerRowBorderDxfId="89" tableBorderDxfId="88">
  <autoFilter ref="A48:K58" xr:uid="{79D60165-72D4-4DA4-88D7-DFA5FD2AC917}"/>
  <tableColumns count="11">
    <tableColumn id="10" xr3:uid="{D8EBD530-6A5B-472E-8B69-4ADEBCFA4699}" name="Decile"/>
    <tableColumn id="1" xr3:uid="{F8194B2D-C41D-4058-B995-9F66E92A308F}" name="Counts" totalsRowFunction="custom">
      <totalsRowFormula>SUM(Table75[Counts])</totalsRowFormula>
    </tableColumn>
    <tableColumn id="2" xr3:uid="{023D612A-2179-4DA9-A203-318A1693AC87}" name="Positive Target" totalsRowFunction="custom">
      <totalsRowFormula>SUM(Table75[Positive Target])</totalsRowFormula>
    </tableColumn>
    <tableColumn id="3" xr3:uid="{FAF16044-DEB7-4784-BDFB-A10EECC20E13}" name="Target Rate" totalsRowFunction="custom">
      <totalsRowFormula>Table75[[#Totals],[Positive Target]]/Table75[[#Totals],[Counts]]*100</totalsRowFormula>
    </tableColumn>
    <tableColumn id="4" xr3:uid="{22A1E8FC-C1DF-499B-BF9D-534B094E2C6C}" name="Overall_Target PCT"/>
    <tableColumn id="5" xr3:uid="{5D1C4A34-91BC-422D-A6A1-46B934EEABEE}" name="Min PROB_OF_YES"/>
    <tableColumn id="6" xr3:uid="{28869115-96E0-44DE-AD0D-F00899A498AD}" name="Max PROB_OF_YES"/>
    <tableColumn id="7" xr3:uid="{244F0736-45F6-4FC9-9163-E933061F6F3B}" name="Mean PROB_OF_YES"/>
    <tableColumn id="8" xr3:uid="{37A76332-C2EA-4D9D-9282-035B9B0B5AF8}" name="Median PROB_OF_YES"/>
    <tableColumn id="9" xr3:uid="{0C7DA949-79FF-46B0-8291-3EC832788A59}" name="Std PROB_OF_YES"/>
    <tableColumn id="11" xr3:uid="{9624A2E2-BC3A-475D-B4D8-DA4FD5333774}" name="Lift" dataDxfId="87" totalsRowDxfId="86">
      <calculatedColumnFormula>Table75[[#This Row],[Target Rate]]/Table75[[#Totals],[Target Rate]]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CC47C4D3-4D37-430D-A350-A4CC6DB5F162}" name="Table76" displayName="Table76" ref="M34:W45" totalsRowCount="1" headerRowDxfId="85" headerRowBorderDxfId="84" tableBorderDxfId="83">
  <autoFilter ref="M34:W44" xr:uid="{CC47C4D3-4D37-430D-A350-A4CC6DB5F162}"/>
  <tableColumns count="11">
    <tableColumn id="10" xr3:uid="{B1EBB96B-B438-461F-BD19-0D2231C47F39}" name="Decile"/>
    <tableColumn id="1" xr3:uid="{A91EF0CE-11E6-4FFB-9AD0-75F75F0FA97B}" name="Counts" totalsRowFunction="custom">
      <totalsRowFormula>SUM(Table76[Counts])</totalsRowFormula>
    </tableColumn>
    <tableColumn id="2" xr3:uid="{DA0EFF5F-6C1F-43CE-801C-CAD897631506}" name="Positive Target" totalsRowFunction="custom">
      <totalsRowFormula>SUM(Table76[Positive Target])</totalsRowFormula>
    </tableColumn>
    <tableColumn id="3" xr3:uid="{7D5699FA-0281-48AE-9C3D-CA689480553C}" name="Target Rate" totalsRowFunction="custom">
      <totalsRowFormula>Table76[[#Totals],[Positive Target]]/Table76[[#Totals],[Counts]]*100</totalsRowFormula>
    </tableColumn>
    <tableColumn id="4" xr3:uid="{711168BB-AB44-4646-AB8C-469F63DC099F}" name="Overall_Target PCT"/>
    <tableColumn id="5" xr3:uid="{88949715-96B4-4553-9514-8E9A2656F7DF}" name="Min PROB_OF_YES"/>
    <tableColumn id="6" xr3:uid="{2463B285-C73E-4FFD-BBC7-B1102B6C7FEE}" name="Max PROB_OF_YES"/>
    <tableColumn id="7" xr3:uid="{7C79FE48-25E2-417E-9E05-B15B81DFE62B}" name="Mean PROB_OF_YES"/>
    <tableColumn id="8" xr3:uid="{F5FA4165-B209-4A95-8463-B3954CF6FFD8}" name="Median PROB_OF_YES"/>
    <tableColumn id="9" xr3:uid="{4C1EE731-C69F-466F-A913-EE4A23559162}" name="Std PROB_OF_YES"/>
    <tableColumn id="11" xr3:uid="{7F15FF2F-60CD-4457-B665-059602972F2D}" name="Lift" dataDxfId="82" totalsRowDxfId="81">
      <calculatedColumnFormula>Table76[[#This Row],[Target Rate]]/Table76[[#Totals],[Target Rate]]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DD1E72C-F59B-4427-986A-9EB4842CDC96}" name="Table77" displayName="Table77" ref="M48:W59" totalsRowCount="1" headerRowDxfId="80" headerRowBorderDxfId="79" tableBorderDxfId="78">
  <autoFilter ref="M48:W58" xr:uid="{3DD1E72C-F59B-4427-986A-9EB4842CDC96}"/>
  <tableColumns count="11">
    <tableColumn id="10" xr3:uid="{9D73BC9A-9073-46A9-9E8B-D5D2DBF382E7}" name="Decile"/>
    <tableColumn id="1" xr3:uid="{28EE73A5-4884-4E79-B732-A892940E11CF}" name="Counts" totalsRowFunction="custom">
      <totalsRowFormula>SUM(Table77[Counts])</totalsRowFormula>
    </tableColumn>
    <tableColumn id="2" xr3:uid="{10312B17-6956-499E-BE1F-24D0DE1CCBCB}" name="Positive Target" totalsRowFunction="custom">
      <totalsRowFormula>SUM(Table77[Positive Target])</totalsRowFormula>
    </tableColumn>
    <tableColumn id="3" xr3:uid="{D716C731-6192-4A20-B2B5-87B57AF43256}" name="Target Rate" totalsRowFunction="custom">
      <totalsRowFormula>Table77[[#Totals],[Positive Target]]/Table77[[#Totals],[Counts]]*100</totalsRowFormula>
    </tableColumn>
    <tableColumn id="4" xr3:uid="{0AAC0D66-667C-450B-82F6-7DA2099B9B81}" name="Overall_Target PCT"/>
    <tableColumn id="5" xr3:uid="{71BBE172-2ACA-42CA-8E03-19B6A851B2B3}" name="Min PROB_OF_YES"/>
    <tableColumn id="6" xr3:uid="{68F98E0D-724A-4CAE-9480-5BF5F7B882D7}" name="Max PROB_OF_YES"/>
    <tableColumn id="7" xr3:uid="{23D3EB9F-5EB9-451E-8DB5-6BC289DD1984}" name="Mean PROB_OF_YES"/>
    <tableColumn id="8" xr3:uid="{8BA1818E-310F-4926-9FD6-F422DEA4702F}" name="Median PROB_OF_YES"/>
    <tableColumn id="9" xr3:uid="{F193F192-BA92-4183-9BF8-08A039678817}" name="Std PROB_OF_YES"/>
    <tableColumn id="11" xr3:uid="{4380CD6A-B9FC-478F-8935-EBFA9D1107A8}" name="Lift" dataDxfId="77" totalsRowDxfId="76">
      <calculatedColumnFormula>Table77[[#This Row],[Target Rate]]/Table77[[#Totals],[Target Rate]]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AFA4DC5A-8D1E-40E3-BB2C-D47C661B24E8}" name="Table78" displayName="Table78" ref="Y34:AI45" totalsRowCount="1" headerRowDxfId="75" headerRowBorderDxfId="74" tableBorderDxfId="73">
  <autoFilter ref="Y34:AI44" xr:uid="{AFA4DC5A-8D1E-40E3-BB2C-D47C661B24E8}"/>
  <tableColumns count="11">
    <tableColumn id="10" xr3:uid="{13EB019C-06EE-42BF-BCBF-D7086464E6F3}" name="Decile"/>
    <tableColumn id="1" xr3:uid="{320BF62B-D260-403D-85CE-7C9A31C410CD}" name="Counts" totalsRowFunction="custom">
      <totalsRowFormula>SUM(Table78[Counts])</totalsRowFormula>
    </tableColumn>
    <tableColumn id="2" xr3:uid="{E4552D73-32A6-4EF4-943A-17FD5D604814}" name="Positive Target" totalsRowFunction="custom">
      <totalsRowFormula>SUM(Table78[Positive Target])</totalsRowFormula>
    </tableColumn>
    <tableColumn id="3" xr3:uid="{08761CA7-F456-424A-A2D9-E3F9D61C9F91}" name="Target Rate" totalsRowFunction="custom">
      <totalsRowFormula>Table78[[#Totals],[Positive Target]]/Table78[[#Totals],[Counts]]*100</totalsRowFormula>
    </tableColumn>
    <tableColumn id="4" xr3:uid="{C2DD0536-79DE-41CB-9EBE-864D14D843F9}" name="Overall_Target PCT"/>
    <tableColumn id="5" xr3:uid="{5D1585AD-9A48-441B-85A0-125BA02CD1C8}" name="Min PROB_OF_YES"/>
    <tableColumn id="6" xr3:uid="{7AD76A3B-6BC8-48D4-BA44-81FD8B17A275}" name="Max PROB_OF_YES"/>
    <tableColumn id="7" xr3:uid="{98E4008C-24E7-4863-AD38-7D792F57F0B7}" name="Mean PROB_OF_YES"/>
    <tableColumn id="8" xr3:uid="{D5972B63-74A9-4BD3-9ACB-020BD6B65911}" name="Median PROB_OF_YES"/>
    <tableColumn id="9" xr3:uid="{4EAABF9B-2ED5-49C7-A348-F2FED5A199FB}" name="Std PROB_OF_YES"/>
    <tableColumn id="11" xr3:uid="{F921E9A8-CB51-48BF-BCA2-FF4FA15AEF7B}" name="Lift" dataDxfId="72" totalsRowDxfId="71">
      <calculatedColumnFormula>Table78[[#This Row],[Target Rate]]/Table78[[#Totals],[Target Rate]]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7ECD6D5D-9BFC-4707-BA44-C593F272C955}" name="Table79" displayName="Table79" ref="Y48:AI59" totalsRowCount="1" headerRowDxfId="70" headerRowBorderDxfId="69" tableBorderDxfId="68">
  <autoFilter ref="Y48:AI58" xr:uid="{7ECD6D5D-9BFC-4707-BA44-C593F272C955}"/>
  <tableColumns count="11">
    <tableColumn id="10" xr3:uid="{AC3EA2C7-DACE-44B3-8101-38EDF9F83B68}" name="Decile"/>
    <tableColumn id="1" xr3:uid="{4B772E8B-3C8C-49B7-9FA8-B08C7A994F46}" name="Counts" totalsRowFunction="custom">
      <totalsRowFormula>SUM(Table79[Counts])</totalsRowFormula>
    </tableColumn>
    <tableColumn id="2" xr3:uid="{32AF022C-3059-4184-A847-1CC64E34BE74}" name="Positive Target" totalsRowFunction="custom">
      <totalsRowFormula>SUM(Table79[Positive Target])</totalsRowFormula>
    </tableColumn>
    <tableColumn id="3" xr3:uid="{78D24389-2421-48E6-9403-3F2A33F35EE2}" name="Target Rate" totalsRowFunction="custom">
      <totalsRowFormula>Table79[[#Totals],[Positive Target]]/Table79[[#Totals],[Counts]]*100</totalsRowFormula>
    </tableColumn>
    <tableColumn id="4" xr3:uid="{9C4BE2BD-196C-4A4A-9CFC-330396CA6B01}" name="Overall_Target PCT"/>
    <tableColumn id="5" xr3:uid="{F3066360-11CC-4045-89A7-D32684D0B548}" name="Min PROB_OF_YES"/>
    <tableColumn id="6" xr3:uid="{CE7ADA8A-7D7A-4076-962F-B03D7F8E4033}" name="Max PROB_OF_YES"/>
    <tableColumn id="7" xr3:uid="{8EBBC73B-0AFA-47C7-B09C-FC442A5CE2AA}" name="Mean PROB_OF_YES"/>
    <tableColumn id="8" xr3:uid="{6ACD4139-F804-4B70-867F-C5537CD8DB0F}" name="Median PROB_OF_YES"/>
    <tableColumn id="9" xr3:uid="{CC8F9E7F-7A4C-4B3E-AF8F-EF545FCF2F15}" name="Std PROB_OF_YES"/>
    <tableColumn id="11" xr3:uid="{43CB144E-BE50-4DE5-81A0-EA8E5E4BF868}" name="Lift" dataDxfId="67">
      <calculatedColumnFormula>Table79[[#This Row],[Target Rate]]/Table79[[#Totals],[Target Rate]]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A4D1AB8-69B5-435A-B985-A2F190524091}" name="Table33" displayName="Table33" ref="A3:J13" totalsRowShown="0" headerRowDxfId="66" headerRowBorderDxfId="65" tableBorderDxfId="64">
  <autoFilter ref="A3:J13" xr:uid="{AA4D1AB8-69B5-435A-B985-A2F190524091}"/>
  <tableColumns count="10">
    <tableColumn id="10" xr3:uid="{247851F5-F9EE-4ED0-8D88-8C24C6F01474}" name="Decile"/>
    <tableColumn id="1" xr3:uid="{D510C01A-D206-4556-BDAE-FA3B2277BB63}" name="Counts"/>
    <tableColumn id="2" xr3:uid="{C5CAC9DC-0B3E-4D34-BD57-7E36831DF985}" name="Positive Target"/>
    <tableColumn id="3" xr3:uid="{0CFCF6B0-DDC9-411E-A0D0-44A9A6FEA0DC}" name="Target Rate"/>
    <tableColumn id="4" xr3:uid="{E40C4269-5528-42BF-82FC-D9C404039923}" name="Overall_Target PCT"/>
    <tableColumn id="5" xr3:uid="{93882288-A402-4461-AC4B-045EF841AA27}" name="Min PROB_OF_YES"/>
    <tableColumn id="6" xr3:uid="{13868903-3140-4AFA-BF69-3D1A037997CC}" name="Max PROB_OF_YES"/>
    <tableColumn id="7" xr3:uid="{23C1C739-644B-4C41-BC4F-9832418B0474}" name="Mean PROB_OF_YES"/>
    <tableColumn id="8" xr3:uid="{C17175D4-0F77-4D60-819A-87862B3E82E7}" name="Median PROB_OF_YES"/>
    <tableColumn id="9" xr3:uid="{0E750EC3-BDD2-4B32-9E75-F7F733B887B7}" name="Std PROB_OF_Y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8A229AF-59E4-4F25-A739-0C14B326B2D2}" name="Table34" displayName="Table34" ref="L3:U13" totalsRowShown="0" headerRowDxfId="63" headerRowBorderDxfId="62" tableBorderDxfId="61">
  <autoFilter ref="L3:U13" xr:uid="{E8A229AF-59E4-4F25-A739-0C14B326B2D2}"/>
  <tableColumns count="10">
    <tableColumn id="10" xr3:uid="{11E287D5-8B10-49D0-A4E5-530E42C8D54B}" name="Decile"/>
    <tableColumn id="1" xr3:uid="{C71298FF-8EDA-4933-86DC-24D34E98C1FE}" name="Counts"/>
    <tableColumn id="2" xr3:uid="{7A38D523-7B55-43D9-84D0-FDB1787EB92B}" name="Positive Target"/>
    <tableColumn id="3" xr3:uid="{9B1471BA-B9D0-46DE-8294-EBD06DDC152B}" name="Target Rate"/>
    <tableColumn id="4" xr3:uid="{73E47DEC-2F12-4ED9-8ACB-6C9444DF9160}" name="Overall_Target PCT"/>
    <tableColumn id="5" xr3:uid="{013833D1-F97B-4CD5-BB09-C5D2BA8D0398}" name="Min PROB_OF_YES"/>
    <tableColumn id="6" xr3:uid="{8375D943-EBDD-4680-91E9-FDC2480178BC}" name="Max PROB_OF_YES"/>
    <tableColumn id="7" xr3:uid="{EB362E8A-0067-4942-BE3E-56BAED4357DC}" name="Mean PROB_OF_YES"/>
    <tableColumn id="8" xr3:uid="{2EC62B48-05E3-446D-B492-802BE2DEC585}" name="Median PROB_OF_YES"/>
    <tableColumn id="9" xr3:uid="{B18BE2B0-6413-4A2C-91BD-22FF53292528}" name="Std PROB_OF_YE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30E531C-1F33-4808-B5DA-0CC9C3AAEB7A}" name="Table35" displayName="Table35" ref="X3:AG13" totalsRowShown="0" headerRowDxfId="60" headerRowBorderDxfId="59" tableBorderDxfId="58">
  <autoFilter ref="X3:AG13" xr:uid="{B30E531C-1F33-4808-B5DA-0CC9C3AAEB7A}"/>
  <tableColumns count="10">
    <tableColumn id="10" xr3:uid="{7F72BF26-F6FD-41CA-8A57-A300CC00725C}" name="Decile"/>
    <tableColumn id="1" xr3:uid="{EC71F19D-DC06-4FEB-BC79-444DC3206E14}" name="Counts"/>
    <tableColumn id="2" xr3:uid="{5B111F7A-51EC-4AFB-8935-28003710D8AB}" name="Positive Target"/>
    <tableColumn id="3" xr3:uid="{A42BC37D-FCEC-43DE-8351-63C1B3F1A60A}" name="Target Rate"/>
    <tableColumn id="4" xr3:uid="{24E15303-75FF-4B3C-ABC1-6E6E02FF58BC}" name="Overall_Target PCT"/>
    <tableColumn id="5" xr3:uid="{814F7015-2A98-40C2-A379-F14F0DD34F75}" name="Min PROB_OF_YES"/>
    <tableColumn id="6" xr3:uid="{DE8982DA-CA4D-4FC5-B55C-E075D75166B2}" name="Max PROB_OF_YES"/>
    <tableColumn id="7" xr3:uid="{336466C5-ACB7-49DD-8523-E563CA3E9AE9}" name="Mean PROB_OF_YES"/>
    <tableColumn id="8" xr3:uid="{565D3E50-01AD-41BD-A342-6B14FB2DF9EE}" name="Median PROB_OF_YES"/>
    <tableColumn id="9" xr3:uid="{136079B2-07F1-4DFD-90A9-F5E595EDCFCD}" name="Std PROB_OF_YE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312FB1F-8DE8-4578-929A-D48A701149CA}" name="Table36" displayName="Table36" ref="A18:J28" totalsRowShown="0" headerRowDxfId="57" headerRowBorderDxfId="56" tableBorderDxfId="55">
  <autoFilter ref="A18:J28" xr:uid="{8312FB1F-8DE8-4578-929A-D48A701149CA}"/>
  <tableColumns count="10">
    <tableColumn id="10" xr3:uid="{A33E96E9-16AD-4F7A-8C8E-BE6A07731865}" name="Decile"/>
    <tableColumn id="1" xr3:uid="{FEB7578E-12AD-4712-A4C4-507326A22A46}" name="Counts"/>
    <tableColumn id="2" xr3:uid="{882A1218-57ED-4026-B4A5-5E3B59EC5A78}" name="Positive Target"/>
    <tableColumn id="3" xr3:uid="{87F7F584-AD15-4A49-84A2-4B978427B42E}" name="Target Rate"/>
    <tableColumn id="4" xr3:uid="{40CBB8DF-DFCA-4D6D-9904-90F65DD5F5F7}" name="Overall_Target PCT"/>
    <tableColumn id="5" xr3:uid="{9752E0F8-727A-48FA-AE33-07A6C3E0B6EE}" name="Min PROB_OF_YES"/>
    <tableColumn id="6" xr3:uid="{2425CE2E-31ED-4CBF-889E-DF2BB4A176BB}" name="Max PROB_OF_YES"/>
    <tableColumn id="7" xr3:uid="{1ED98E4C-EE55-44D6-A4CF-B800AE79F39F}" name="Mean PROB_OF_YES"/>
    <tableColumn id="8" xr3:uid="{CDD1A40F-F25D-49FA-949F-EFB4B1E38223}" name="Median PROB_OF_YES"/>
    <tableColumn id="9" xr3:uid="{E929FDD2-DB81-4F87-ADDA-65BADA5CB4D7}" name="Std PROB_OF_Y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1D8D983-CD6D-4C42-8303-8D1CC706479F}" name="Table37" displayName="Table37" ref="L18:U28" totalsRowShown="0" headerRowDxfId="54" headerRowBorderDxfId="53" tableBorderDxfId="52">
  <autoFilter ref="L18:U28" xr:uid="{A1D8D983-CD6D-4C42-8303-8D1CC706479F}"/>
  <tableColumns count="10">
    <tableColumn id="10" xr3:uid="{D293E1D5-C437-43FB-B720-9D69383A87E0}" name="Decile"/>
    <tableColumn id="1" xr3:uid="{84F0E4F6-6E33-4F89-A361-9CD30DC1549D}" name="Counts"/>
    <tableColumn id="2" xr3:uid="{7DD87360-2A06-4EE1-8CC2-5538BEC9D851}" name="Positive Target"/>
    <tableColumn id="3" xr3:uid="{9F14BF20-7A67-4B2F-9D63-F5A2E7279335}" name="Target Rate"/>
    <tableColumn id="4" xr3:uid="{7249D34B-B816-427F-8CF5-F3BDB67456A8}" name="Overall_Target PCT"/>
    <tableColumn id="5" xr3:uid="{BCBBF470-565E-4C58-9045-07E933056E99}" name="Min PROB_OF_YES"/>
    <tableColumn id="6" xr3:uid="{6FBE6EAD-A40D-4C6E-97A8-77463E4C5952}" name="Max PROB_OF_YES"/>
    <tableColumn id="7" xr3:uid="{36B60BEF-6545-4734-A58E-1F609440CC2A}" name="Mean PROB_OF_YES"/>
    <tableColumn id="8" xr3:uid="{AC206254-E576-42D1-8689-1C7457149ACF}" name="Median PROB_OF_YES"/>
    <tableColumn id="9" xr3:uid="{252E4679-5472-442A-B31C-86959F60E828}" name="Std PROB_OF_YES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D836599-2ACB-4EC2-B766-267BEED560B8}" name="Table38" displayName="Table38" ref="X18:AG28" totalsRowShown="0" headerRowDxfId="51" headerRowBorderDxfId="50" tableBorderDxfId="49">
  <autoFilter ref="X18:AG28" xr:uid="{3D836599-2ACB-4EC2-B766-267BEED560B8}"/>
  <tableColumns count="10">
    <tableColumn id="10" xr3:uid="{5F1304E8-1227-4415-8858-B5343CAE5008}" name="Decile"/>
    <tableColumn id="1" xr3:uid="{5EC5ECD5-A841-466A-A9BB-505303A65AF6}" name="Counts"/>
    <tableColumn id="2" xr3:uid="{49D2B694-EC12-4FF3-953C-2360ECFA0804}" name="Positive Target"/>
    <tableColumn id="3" xr3:uid="{C1725436-D1FB-4A54-B2FD-B09336572259}" name="Target Rate"/>
    <tableColumn id="4" xr3:uid="{16647B14-6A72-4B03-A3E4-BFDA36CF0FCF}" name="Overall_Target PCT"/>
    <tableColumn id="5" xr3:uid="{2C184F95-F4E2-443F-9EE0-F4EADA73E074}" name="Min PROB_OF_YES"/>
    <tableColumn id="6" xr3:uid="{44EF26D7-48B5-471A-A2E4-EBE6A409D8BB}" name="Max PROB_OF_YES"/>
    <tableColumn id="7" xr3:uid="{B0637373-FBB4-4A4E-8713-257EB585A7D1}" name="Mean PROB_OF_YES"/>
    <tableColumn id="8" xr3:uid="{1284230C-4CD4-4CF0-ACD2-2DC653C608E3}" name="Median PROB_OF_YES"/>
    <tableColumn id="9" xr3:uid="{6B69E792-C2B7-4066-B888-86D5433F9E51}" name="Std PROB_OF_Y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E565D9-6E8D-4EAC-BB88-3441D7A21D47}" name="Table15" displayName="Table15" ref="A4:J14" totalsRowShown="0" headerRowDxfId="48" headerRowBorderDxfId="47" tableBorderDxfId="46">
  <autoFilter ref="A4:J14" xr:uid="{A2E565D9-6E8D-4EAC-BB88-3441D7A21D47}"/>
  <tableColumns count="10">
    <tableColumn id="10" xr3:uid="{1BC9CC53-EDA7-43AF-A3F4-F7DCC66EF25E}" name="Decile"/>
    <tableColumn id="1" xr3:uid="{F25A7052-249A-4DB5-8B06-85B3F0E23E56}" name="Counts"/>
    <tableColumn id="2" xr3:uid="{87BC9023-ACBB-4544-B33E-91D0A7EA29AB}" name="Positive Target"/>
    <tableColumn id="3" xr3:uid="{7F7E9601-B076-4C3E-816E-DF7DCEBB31C9}" name="Target Rate"/>
    <tableColumn id="4" xr3:uid="{126BEBC3-4FC2-4776-8EC1-A44D42223EF7}" name="Overall_Target PCT"/>
    <tableColumn id="5" xr3:uid="{1F4D82F5-609E-4AC9-AA16-B5599DC30C49}" name="Min PROB_OF_YES"/>
    <tableColumn id="6" xr3:uid="{3C8B117E-27A5-44D0-93F6-A5DFE48BD14F}" name="Max PROB_OF_YES"/>
    <tableColumn id="7" xr3:uid="{E8C82296-EA1F-4215-BA61-A78F54D73088}" name="Mean PROB_OF_YES"/>
    <tableColumn id="8" xr3:uid="{C823174C-3211-4AF8-AE7F-EE5F4886640F}" name="Median PROB_OF_YES"/>
    <tableColumn id="9" xr3:uid="{4EB5F999-133A-4052-8B48-1F7BC5628884}" name="Std PROB_OF_YE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1C3801F-5F73-41BA-AFA5-7FEB54597B6A}" name="Table16" displayName="Table16" ref="L4:U14" totalsRowShown="0" headerRowDxfId="45" headerRowBorderDxfId="44" tableBorderDxfId="43">
  <autoFilter ref="L4:U14" xr:uid="{51C3801F-5F73-41BA-AFA5-7FEB54597B6A}"/>
  <tableColumns count="10">
    <tableColumn id="11" xr3:uid="{0CA933B7-EE94-40CE-B8B5-06B3CBF12977}" name="Decile"/>
    <tableColumn id="1" xr3:uid="{65D5427B-B132-437F-88FD-7B46E4F2E7D7}" name="Counts"/>
    <tableColumn id="2" xr3:uid="{7BF2B354-E968-4215-AD9F-0EFFD0A089A6}" name="Positive Target"/>
    <tableColumn id="3" xr3:uid="{001AEFE2-B236-45A3-83F4-6A5D1E758AF4}" name="Target Rate"/>
    <tableColumn id="4" xr3:uid="{29598519-E033-43D2-897E-34C1D4E47F98}" name="Overall_Target PCT"/>
    <tableColumn id="5" xr3:uid="{6DA88859-47D8-425B-B62D-85B6966E3736}" name="Min PROB_OF_YES"/>
    <tableColumn id="6" xr3:uid="{88C308EB-E721-4A77-95BC-BF1B8B4E7DF0}" name="Max PROB_OF_YES"/>
    <tableColumn id="7" xr3:uid="{E0518378-B71A-46C3-9980-70AD41D41D4D}" name="Mean PROB_OF_YES"/>
    <tableColumn id="8" xr3:uid="{29DE1C0E-ACB3-4944-9F19-939EFD080594}" name="Median PROB_OF_YES"/>
    <tableColumn id="9" xr3:uid="{0DE1E487-E8E1-47F8-A479-BF64D8090E96}" name="Std PROB_OF_Y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FECD507-D242-4FE6-8D97-B99FFFB95B3A}" name="Table17" displayName="Table17" ref="X4:AG14" totalsRowShown="0" headerRowDxfId="42" headerRowBorderDxfId="41" tableBorderDxfId="40">
  <autoFilter ref="X4:AG14" xr:uid="{4FECD507-D242-4FE6-8D97-B99FFFB95B3A}"/>
  <tableColumns count="10">
    <tableColumn id="10" xr3:uid="{19770843-6387-4081-B3D4-2BEBC57A92FE}" name="Decile"/>
    <tableColumn id="1" xr3:uid="{E72DD3EC-FACE-47C7-B580-6E0403ADC82A}" name="Counts"/>
    <tableColumn id="2" xr3:uid="{3C87EFEF-8084-4C20-A933-F8FEF3C0A954}" name="Positive Target"/>
    <tableColumn id="3" xr3:uid="{E1D80BF8-D2B7-4221-ADCB-D1D55F15DFCE}" name="Target Rate"/>
    <tableColumn id="4" xr3:uid="{A1F6683E-7E41-4093-9706-6A55AE51C6FC}" name="Overall_Target PCT"/>
    <tableColumn id="5" xr3:uid="{6AC8C3AC-095E-49C6-95A9-B4ABBEE7B528}" name="Min PROB_OF_YES"/>
    <tableColumn id="6" xr3:uid="{48A347B4-C1F5-49D4-889D-EB3F53FB02E0}" name="Max PROB_OF_YES"/>
    <tableColumn id="7" xr3:uid="{967542AA-B2C1-4E2F-BF8A-AA7C0FDCA727}" name="Mean PROB_OF_YES"/>
    <tableColumn id="8" xr3:uid="{C161D56A-2B8C-4704-BD1F-5BEB1F1AD962}" name="Median PROB_OF_YES"/>
    <tableColumn id="9" xr3:uid="{05FBC725-FF2B-49D9-BAE4-7C8C21DEC0CC}" name="Std PROB_OF_Y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A08263A-38C8-41E0-80EF-7A71C21D849D}" name="Table18" displayName="Table18" ref="A19:J29" totalsRowShown="0" headerRowDxfId="39" headerRowBorderDxfId="38" tableBorderDxfId="37">
  <autoFilter ref="A19:J29" xr:uid="{8A08263A-38C8-41E0-80EF-7A71C21D849D}"/>
  <tableColumns count="10">
    <tableColumn id="10" xr3:uid="{414FE78C-A2CD-40E4-81FB-5CF58669D235}" name="Decile"/>
    <tableColumn id="1" xr3:uid="{EFF8B496-F9DD-4BEC-B156-2F97934460C4}" name="Counts"/>
    <tableColumn id="2" xr3:uid="{B481C7AD-90F0-4D31-BAAE-2DF8AB276DE2}" name="Positive Target"/>
    <tableColumn id="3" xr3:uid="{F8E24DD1-9810-4AA8-9B63-8C0398DE23E1}" name="Target Rate"/>
    <tableColumn id="4" xr3:uid="{C785EE6C-A6FB-4314-9ECB-9FD4CE3F330C}" name="Overall_Target PCT"/>
    <tableColumn id="5" xr3:uid="{CD7E7395-B053-4C57-B5BC-E45E017846DC}" name="Min PROB_OF_YES"/>
    <tableColumn id="6" xr3:uid="{6B5AF704-31F1-4419-962D-74A6E77BFF37}" name="Max PROB_OF_YES"/>
    <tableColumn id="7" xr3:uid="{61FD74EF-8D71-4EDC-8DF2-ABA8390F54A6}" name="Mean PROB_OF_YES"/>
    <tableColumn id="8" xr3:uid="{0079A32F-FE66-428D-9B88-9752C3323823}" name="Median PROB_OF_YES"/>
    <tableColumn id="9" xr3:uid="{77089510-32F0-4FEA-B609-CCC7D40FC303}" name="Std PROB_OF_YE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DFF45B9-A34C-48D2-85BD-F40C063700AD}" name="Table19" displayName="Table19" ref="L19:U29" totalsRowShown="0" headerRowDxfId="36" headerRowBorderDxfId="35" tableBorderDxfId="34">
  <autoFilter ref="L19:U29" xr:uid="{0DFF45B9-A34C-48D2-85BD-F40C063700AD}"/>
  <tableColumns count="10">
    <tableColumn id="10" xr3:uid="{1335DC00-BC75-4162-9327-64CF86FF5A9E}" name="Decile"/>
    <tableColumn id="1" xr3:uid="{A749EBAA-E77D-449C-993C-5D00DC52F740}" name="Counts"/>
    <tableColumn id="2" xr3:uid="{2B9B4882-AD40-407A-83F4-AEC870465D35}" name="Positive Target"/>
    <tableColumn id="3" xr3:uid="{543325A4-F755-4560-ADF7-18CADC7DDF09}" name="Target Rate"/>
    <tableColumn id="4" xr3:uid="{50BFF28E-FA3E-492B-8DCD-A7CBE137B185}" name="Overall_Target PCT"/>
    <tableColumn id="5" xr3:uid="{0E246865-6CE3-49E9-BB54-43450D1E9911}" name="Min PROB_OF_YES"/>
    <tableColumn id="6" xr3:uid="{82BB6795-22C6-443A-A889-7172ABB2C3FF}" name="Max PROB_OF_YES"/>
    <tableColumn id="7" xr3:uid="{90C6AC8B-4B95-45F3-8EF1-E29C13B46D9D}" name="Mean PROB_OF_YES"/>
    <tableColumn id="8" xr3:uid="{4F9D1614-18E4-4D03-AFFC-6C9502B5D0AB}" name="Median PROB_OF_YES"/>
    <tableColumn id="9" xr3:uid="{D568DF8C-C485-4DCE-9F88-8287173656F0}" name="Std PROB_OF_YE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2C5AFDD-24B7-4A28-AF3D-35E1FAC2E2BC}" name="Table21" displayName="Table21" ref="A33:J43" totalsRowShown="0" headerRowDxfId="33" headerRowBorderDxfId="32" tableBorderDxfId="31">
  <autoFilter ref="A33:J43" xr:uid="{72C5AFDD-24B7-4A28-AF3D-35E1FAC2E2BC}"/>
  <tableColumns count="10">
    <tableColumn id="10" xr3:uid="{29DAE2D7-AEDD-40BD-89BF-266AE3DF14A6}" name="Decile"/>
    <tableColumn id="1" xr3:uid="{BD7DC1C2-1553-46B7-B1FE-5F0D0F0D17E9}" name="Counts"/>
    <tableColumn id="2" xr3:uid="{6B35B63B-6ADC-452D-A0BD-A42B1F279E43}" name="Positive Target"/>
    <tableColumn id="3" xr3:uid="{0F827985-CFFA-48AE-B08B-FFAD1E761EF3}" name="Target Rate"/>
    <tableColumn id="4" xr3:uid="{B7A8CCA5-DDFA-4594-B62A-F80040A7E34F}" name="Overall_Target PCT"/>
    <tableColumn id="5" xr3:uid="{21C52978-191C-4F19-A917-ED5788B8A14A}" name="Min PROB_OF_YES"/>
    <tableColumn id="6" xr3:uid="{E75AD670-6A3D-4101-90C7-52708C7EDED1}" name="Max PROB_OF_YES"/>
    <tableColumn id="7" xr3:uid="{16A5ED6D-26F6-4592-9B2A-248A47B48DDD}" name="Mean PROB_OF_YES"/>
    <tableColumn id="8" xr3:uid="{CD69137B-37ED-4C91-9339-3AE06F4AC192}" name="Median PROB_OF_YES"/>
    <tableColumn id="9" xr3:uid="{25B59202-7847-4D83-BD35-509CFCA2F7E5}" name="Std PROB_OF_Y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AEF62C5-CA9E-4869-8BF4-1B6B4A101272}" name="Table22" displayName="Table22" ref="L33:U43" totalsRowShown="0" headerRowDxfId="30" headerRowBorderDxfId="29" tableBorderDxfId="28">
  <autoFilter ref="L33:U43" xr:uid="{3AEF62C5-CA9E-4869-8BF4-1B6B4A101272}"/>
  <tableColumns count="10">
    <tableColumn id="11" xr3:uid="{CE241B80-204C-41F0-8F8B-3A427673763F}" name="Decile"/>
    <tableColumn id="1" xr3:uid="{57637D99-8C7D-4EA0-9846-B73901F17747}" name="Counts"/>
    <tableColumn id="2" xr3:uid="{732960EB-D722-49B4-9AC5-D74E23737E43}" name="Positive Target"/>
    <tableColumn id="3" xr3:uid="{6244744A-DCCA-4978-852E-327F091B0BC5}" name="Target Rate"/>
    <tableColumn id="4" xr3:uid="{79CFAB2F-BDB5-4B9A-A4DF-BD2AA0FA5ECC}" name="Overall_Target PCT"/>
    <tableColumn id="5" xr3:uid="{073ABC99-A22E-451A-803C-671B20562018}" name="Min PROB_OF_YES"/>
    <tableColumn id="6" xr3:uid="{74AD1857-AE5E-4765-B27E-F0DAA94EFAFB}" name="Max PROB_OF_YES"/>
    <tableColumn id="7" xr3:uid="{F950C00C-BA89-44D8-A47E-A0A453378322}" name="Mean PROB_OF_YES"/>
    <tableColumn id="8" xr3:uid="{83B6DB44-B81B-46AA-A9A5-A7236A4431D6}" name="Median PROB_OF_YES"/>
    <tableColumn id="9" xr3:uid="{F6AE1EBA-4771-4B91-9533-F05765525542}" name="Std PROB_OF_Y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C973A59-0F0F-4227-BC6C-D684788D31F2}" name="Table23" displayName="Table23" ref="X33:AG43" totalsRowShown="0" headerRowDxfId="27" headerRowBorderDxfId="26" tableBorderDxfId="25">
  <autoFilter ref="X33:AG43" xr:uid="{8C973A59-0F0F-4227-BC6C-D684788D31F2}"/>
  <tableColumns count="10">
    <tableColumn id="11" xr3:uid="{1D2BBA87-A4BC-4340-AF0C-63DB8D144E8D}" name="Decile"/>
    <tableColumn id="1" xr3:uid="{E6E26160-383B-4A29-8168-E1E7F704C4C6}" name="Counts"/>
    <tableColumn id="2" xr3:uid="{B646D17F-7B9E-4E8B-A8FF-4735DDA39B60}" name="Positive Target"/>
    <tableColumn id="3" xr3:uid="{A26BF3B9-085C-4F77-AF6A-887BB6A5FCB0}" name="Target Rate"/>
    <tableColumn id="4" xr3:uid="{EA596D48-20E6-4D5D-AD1B-03733739D301}" name="Overall_Target PCT"/>
    <tableColumn id="5" xr3:uid="{A8230892-602D-44B4-A4DE-4770308AB2BD}" name="Min PROB_OF_YES"/>
    <tableColumn id="6" xr3:uid="{0E9FC10F-7709-416C-9832-6B2E1209645A}" name="Max PROB_OF_YES"/>
    <tableColumn id="7" xr3:uid="{03FA309F-3C64-478C-AB92-D0DE204824D6}" name="Mean PROB_OF_YES"/>
    <tableColumn id="8" xr3:uid="{E1B7AA2B-CDC8-4225-B2C7-EC8D338098A4}" name="Median PROB_OF_YES"/>
    <tableColumn id="9" xr3:uid="{78A72B92-07D4-4659-9CB3-47F5E3B95CBB}" name="Std PROB_OF_Y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1FA7425-8D51-4CB2-9D7D-32C0BD0C8BD1}" name="Table24" displayName="Table24" ref="A48:J58" totalsRowShown="0" headerRowDxfId="24" headerRowBorderDxfId="23" tableBorderDxfId="22">
  <autoFilter ref="A48:J58" xr:uid="{61FA7425-8D51-4CB2-9D7D-32C0BD0C8BD1}"/>
  <tableColumns count="10">
    <tableColumn id="10" xr3:uid="{8468240E-F677-4FC2-AD90-73BCC07083D8}" name="Decile"/>
    <tableColumn id="1" xr3:uid="{B6B7CCEC-6BAD-4E53-BDC2-71F8616B7598}" name="Counts"/>
    <tableColumn id="2" xr3:uid="{C56B2EED-751A-4D0F-95D7-57AF96423AF5}" name="Positive Target"/>
    <tableColumn id="3" xr3:uid="{D72A3B8C-D95E-4E0B-BE79-AF4AC919A49A}" name="Target Rate"/>
    <tableColumn id="4" xr3:uid="{63FDD170-03F2-4E6B-B862-4803802AF80F}" name="Overall_Target PCT"/>
    <tableColumn id="5" xr3:uid="{66001702-48BB-4EE3-9C9A-16B7ACBE4696}" name="Min PROB_OF_YES"/>
    <tableColumn id="6" xr3:uid="{A00B1E2B-7C5A-4816-B6D8-80CD7974CFB8}" name="Max PROB_OF_YES"/>
    <tableColumn id="7" xr3:uid="{5EC80D78-9AC7-4168-9CED-F309AD2F58A6}" name="Mean PROB_OF_YES"/>
    <tableColumn id="8" xr3:uid="{CD489302-F61C-4F04-ACA8-DE7CCA9A7FC6}" name="Median PROB_OF_YES"/>
    <tableColumn id="9" xr3:uid="{F59101C7-74EE-47AE-BAA2-451075B35842}" name="Std PROB_OF_YES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148DFA4-ADF1-4218-AAA9-C10FEC0DAB6E}" name="Table25" displayName="Table25" ref="L48:U58" totalsRowShown="0" headerRowDxfId="21" headerRowBorderDxfId="20" tableBorderDxfId="19">
  <autoFilter ref="L48:U58" xr:uid="{3148DFA4-ADF1-4218-AAA9-C10FEC0DAB6E}"/>
  <tableColumns count="10">
    <tableColumn id="10" xr3:uid="{60DFEF3D-768C-4456-97BA-3CDF00A2FB9C}" name="Decile"/>
    <tableColumn id="1" xr3:uid="{819D4212-DA39-429D-AA3F-6EE8540F5DAE}" name="Counts"/>
    <tableColumn id="2" xr3:uid="{D40B221F-4DB0-4AD3-8084-D30970F044F1}" name="Positive Target"/>
    <tableColumn id="3" xr3:uid="{70268515-3CBB-4D71-A160-ABE3CE52674E}" name="Target Rate"/>
    <tableColumn id="4" xr3:uid="{0E85CE41-CCE0-44DA-B2D9-3994026885AA}" name="Overall_Target PCT"/>
    <tableColumn id="5" xr3:uid="{ED14F969-462C-4FE3-A663-42025C7544AD}" name="Min PROB_OF_YES"/>
    <tableColumn id="6" xr3:uid="{99A6A346-4D05-492E-BBC4-48B2A223F56B}" name="Max PROB_OF_YES"/>
    <tableColumn id="7" xr3:uid="{F546237C-40DE-49CA-ABFC-CF8C4F2FAEBE}" name="Mean PROB_OF_YES"/>
    <tableColumn id="8" xr3:uid="{87DE8B05-F683-4038-ACAE-ECEA5147BC68}" name="Median PROB_OF_YES"/>
    <tableColumn id="9" xr3:uid="{C8B53144-F72D-4CC0-AD1C-58EB7370CBCF}" name="Std PROB_OF_YES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5006F53-DCA4-4792-B509-26D280B315D9}" name="Table26" displayName="Table26" ref="X48:AG58" totalsRowShown="0" headerRowDxfId="18" headerRowBorderDxfId="17" tableBorderDxfId="16">
  <autoFilter ref="X48:AG58" xr:uid="{45006F53-DCA4-4792-B509-26D280B315D9}"/>
  <tableColumns count="10">
    <tableColumn id="10" xr3:uid="{EC5565AD-65C5-4C28-91BB-F6A038DE7830}" name="Decile"/>
    <tableColumn id="1" xr3:uid="{0EAF6984-71CE-49A1-A01B-D0DB9B34E9F6}" name="Counts"/>
    <tableColumn id="2" xr3:uid="{AC091DFF-3E54-4999-9033-13A895C95C19}" name="Positive Target"/>
    <tableColumn id="3" xr3:uid="{DC20B5BA-FC15-4617-96B0-0834F2DD4108}" name="Target Rate"/>
    <tableColumn id="4" xr3:uid="{BCE56695-778E-4128-980B-2DF42D0E2E8E}" name="Overall_Target PCT"/>
    <tableColumn id="5" xr3:uid="{DE219940-9C3D-4602-99E4-59B7EA19964B}" name="Min PROB_OF_YES"/>
    <tableColumn id="6" xr3:uid="{93FAA541-6FF2-4C9A-882E-9743BB1062BE}" name="Max PROB_OF_YES"/>
    <tableColumn id="7" xr3:uid="{5F88547C-1235-48D1-A6CE-D4A03526C122}" name="Mean PROB_OF_YES"/>
    <tableColumn id="8" xr3:uid="{20424F5D-37ED-46DC-B86E-AF83CDE0836C}" name="Median PROB_OF_YES"/>
    <tableColumn id="9" xr3:uid="{BF53DB4F-3E14-464F-B958-281F4CC473D5}" name="Std PROB_OF_YES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903EF87-7934-4E0E-BD0A-888E192FE3E8}" name="Table29" displayName="Table29" ref="X19:AG29" totalsRowShown="0" headerRowDxfId="15" headerRowBorderDxfId="14" tableBorderDxfId="13">
  <autoFilter ref="X19:AG29" xr:uid="{6903EF87-7934-4E0E-BD0A-888E192FE3E8}"/>
  <tableColumns count="10">
    <tableColumn id="10" xr3:uid="{9200BCF5-1ED7-43B8-A68B-374B40AD3F6A}" name="Decile"/>
    <tableColumn id="1" xr3:uid="{5E2EBCB3-1C9D-42E1-A61E-31AED9826E6F}" name="Counts"/>
    <tableColumn id="2" xr3:uid="{A717639A-D7ED-4B87-BC36-0C938B079E4B}" name="Positive Target"/>
    <tableColumn id="3" xr3:uid="{0D5EC868-B4DB-48D3-8944-A81934BA8214}" name="Target Rate"/>
    <tableColumn id="4" xr3:uid="{D17FC35C-31D0-46B1-8079-1A7DF6E77C1A}" name="Overall_Target PCT"/>
    <tableColumn id="5" xr3:uid="{DCD414C2-9B7B-442E-9A45-AB1722AF7306}" name="Min PROB_OF_YES"/>
    <tableColumn id="6" xr3:uid="{788D45EB-143B-4A0B-9308-93216C4A0722}" name="Max PROB_OF_YES"/>
    <tableColumn id="7" xr3:uid="{D46F808C-6EAE-457F-ABDE-8E184CBBD222}" name="Mean PROB_OF_YES"/>
    <tableColumn id="8" xr3:uid="{CA60325F-62D2-4571-91F8-69CC237A3930}" name="Median PROB_OF_YES"/>
    <tableColumn id="9" xr3:uid="{C7D6A2D9-FC30-48D5-8864-49AAD7FF0EFC}" name="Std PROB_OF_YES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370B89-B4EE-439B-A15D-5CBEF39AC4AC}" name="Table20" displayName="Table20" ref="A3:K13" totalsRowShown="0" headerRowDxfId="402" headerRowBorderDxfId="401" tableBorderDxfId="400">
  <autoFilter ref="A3:K13" xr:uid="{46370B89-B4EE-439B-A15D-5CBEF39AC4AC}"/>
  <tableColumns count="11">
    <tableColumn id="10" xr3:uid="{75F74168-E982-479F-8B89-009F72009E61}" name="Decile"/>
    <tableColumn id="1" xr3:uid="{F07F1BA0-1895-4505-8405-9A2EEAE5EBAC}" name="Counts"/>
    <tableColumn id="2" xr3:uid="{4F00077F-7BE9-404D-8626-8B059FEC5EF0}" name="Positive Target"/>
    <tableColumn id="3" xr3:uid="{9AD8B83D-9EDE-4D02-AE7E-5836FDF792AD}" name="Target Rate"/>
    <tableColumn id="4" xr3:uid="{A75B3DD3-4CB3-4CC4-BC44-9FC0EB59EA38}" name="Overall_Target PCT"/>
    <tableColumn id="5" xr3:uid="{BB78AD69-BECB-4565-A71E-93B7892720C5}" name="Min PROB_OF_YES"/>
    <tableColumn id="6" xr3:uid="{5F4E18A3-9399-45E3-ADAD-7EB7B08C4C06}" name="Max PROB_OF_YES"/>
    <tableColumn id="7" xr3:uid="{F52D3B45-8425-4EF0-92E7-C2668739F990}" name="Mean PROB_OF_YES"/>
    <tableColumn id="8" xr3:uid="{629A4F7F-26F2-44F9-9136-22183F5F7C4A}" name="Median PROB_OF_YES"/>
    <tableColumn id="9" xr3:uid="{094546AF-0AE0-45D6-9AF3-A6B9E21E4031}" name="Std PROB_OF_YES"/>
    <tableColumn id="11" xr3:uid="{6B0352AA-BD30-466A-B0B5-5FF4AF6239E3}" name="Lift" dataDxfId="399">
      <calculatedColumnFormula>Table20[[#This Row],[Target Rate]]/'[1]Data Preprocessing'!$C$20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64E2B6A-370E-499B-885F-AD20276458A6}" name="Table27" displayName="Table27" ref="M3:W13" totalsRowShown="0" headerRowDxfId="398" headerRowBorderDxfId="397" tableBorderDxfId="396">
  <autoFilter ref="M3:W13" xr:uid="{364E2B6A-370E-499B-885F-AD20276458A6}"/>
  <tableColumns count="11">
    <tableColumn id="19" xr3:uid="{FBA64ABE-196C-4A2B-BCF4-7D900ABEF542}" name="Decile"/>
    <tableColumn id="1" xr3:uid="{2B1EF9A5-4D2A-4CCE-98A8-A0EECDDEF053}" name="Counts"/>
    <tableColumn id="2" xr3:uid="{D4780DCC-AFCC-406F-B27B-B6CDE78AD55A}" name="Positive Target"/>
    <tableColumn id="3" xr3:uid="{669E5267-CF36-4F6B-B41E-B520AA29CAE5}" name="Target Rate"/>
    <tableColumn id="4" xr3:uid="{8CEF23D8-D43D-4AD2-B485-2ACC04017FF1}" name="Overall_Target PCT"/>
    <tableColumn id="5" xr3:uid="{CBEEF8C0-24CB-468A-9FBC-D6C4F0FCAD96}" name="Min PROB_OF_YES"/>
    <tableColumn id="6" xr3:uid="{6A5B381B-F7B6-47E7-B486-1B35444712D3}" name="Max PROB_OF_YES"/>
    <tableColumn id="7" xr3:uid="{DE58213D-A34F-486A-B361-7791C7C74D91}" name="Mean PROB_OF_YES"/>
    <tableColumn id="8" xr3:uid="{F3818E24-A9E7-4FC6-8A59-5CCA646FEDBA}" name="Median PROB_OF_YES"/>
    <tableColumn id="9" xr3:uid="{E98C80B1-5137-4080-8126-5B132C4605F4}" name="Std PROB_OF_YES"/>
    <tableColumn id="20" xr3:uid="{0DB9FE0F-EA21-4E61-B9C7-09007FC66F59}" name="Lift" dataDxfId="395">
      <calculatedColumnFormula>Table27[[#This Row],[Target Rate]]/'[1]Data Preprocessing'!$F$20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0446544-591B-4FA4-A348-6C4F1081FEBF}" name="Table28" displayName="Table28" ref="Y3:AI13" totalsRowShown="0" headerRowDxfId="394" headerRowBorderDxfId="393" tableBorderDxfId="392">
  <autoFilter ref="Y3:AI13" xr:uid="{70446544-591B-4FA4-A348-6C4F1081FEBF}"/>
  <tableColumns count="11">
    <tableColumn id="10" xr3:uid="{C63D8F99-D7D3-4E8B-9F80-DDC755E2C4A0}" name="Decile"/>
    <tableColumn id="1" xr3:uid="{3647F362-D496-453E-89FC-293FF15B10AF}" name="Counts"/>
    <tableColumn id="2" xr3:uid="{AC9EDA70-8805-4B24-B7BC-AE3131A98119}" name="Positive Target"/>
    <tableColumn id="3" xr3:uid="{E2A11544-74F5-474E-8855-37FE9415F085}" name="Target Rate"/>
    <tableColumn id="4" xr3:uid="{718B3C85-81FD-4567-8E03-CADE812DD802}" name="Overall_Target PCT"/>
    <tableColumn id="5" xr3:uid="{9DD1C0B2-EC80-442C-B3A8-DDEEDFDDA6BC}" name="Min PROB_OF_YES"/>
    <tableColumn id="6" xr3:uid="{57020FDC-6989-4B2B-9903-4950A7B97B6B}" name="Max PROB_OF_YES"/>
    <tableColumn id="7" xr3:uid="{B28813F3-E30B-4F38-9793-6D7BE75DB64C}" name="Mean PROB_OF_YES"/>
    <tableColumn id="8" xr3:uid="{C408BFF1-FE22-46E0-B323-FBC7C3FC4E70}" name="Median PROB_OF_YES"/>
    <tableColumn id="9" xr3:uid="{ACF1CE75-6F10-4969-9672-170081E27FF4}" name="Std PROB_OF_YES"/>
    <tableColumn id="11" xr3:uid="{38B1587E-11B2-4253-9BD4-C7DED3739A6B}" name="Lift" dataDxfId="391">
      <calculatedColumnFormula>Table28[[#This Row],[Target Rate]]/'[1]Data Preprocessing'!$I$20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5A447B3-4D31-4DC3-B113-7E25C85390A7}" name="Table39" displayName="Table39" ref="B15:C29" totalsRowShown="0">
  <autoFilter ref="B15:C29" xr:uid="{E5A447B3-4D31-4DC3-B113-7E25C85390A7}"/>
  <sortState xmlns:xlrd2="http://schemas.microsoft.com/office/spreadsheetml/2017/richdata2" ref="B16:C29">
    <sortCondition descending="1" ref="C15:C29"/>
  </sortState>
  <tableColumns count="2">
    <tableColumn id="1" xr3:uid="{741F441D-2DF8-490D-9EBD-AA912799FAAA}" name="Feature"/>
    <tableColumn id="2" xr3:uid="{F53AABD9-57DD-4A33-BD3F-504E009D4C73}" name="Importanc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B68394D-36E5-4801-8E12-534DA2B5740B}" name="Table40" displayName="Table40" ref="A95:K106" totalsRowCount="1" headerRowDxfId="390" headerRowBorderDxfId="389" tableBorderDxfId="388">
  <autoFilter ref="A95:K105" xr:uid="{8B68394D-36E5-4801-8E12-534DA2B5740B}"/>
  <tableColumns count="11">
    <tableColumn id="10" xr3:uid="{B2097DED-2756-4B78-A798-3D5CBF439814}" name="Decile"/>
    <tableColumn id="1" xr3:uid="{2C8AB5B8-9078-41DF-9EA8-C1785E5F014B}" name="Counts"/>
    <tableColumn id="2" xr3:uid="{BE86BD29-179D-4628-898F-F2543EF69838}" name="Positive Target"/>
    <tableColumn id="3" xr3:uid="{D6435D97-4F91-44FA-89B6-EF75CAFFF7E1}" name="Target Rate" totalsRowDxfId="387"/>
    <tableColumn id="4" xr3:uid="{7E77DE5C-4342-47FB-BFFB-B23D32A0102B}" name="Overall_Target PCT"/>
    <tableColumn id="5" xr3:uid="{E448385B-91E9-4C4D-BECD-D138B34B72DA}" name="Min PROB_OF_YES"/>
    <tableColumn id="6" xr3:uid="{4C12AB73-1A28-4E5B-B94A-3604B56F73DA}" name="Max PROB_OF_YES"/>
    <tableColumn id="7" xr3:uid="{73349E1A-B9D2-4EA6-B354-87F9F8981C1B}" name="Mean PROB_OF_YES"/>
    <tableColumn id="8" xr3:uid="{D27B1569-0BFE-43DA-94FA-6C6A1801679F}" name="Median PROB_OF_YES"/>
    <tableColumn id="9" xr3:uid="{4CEBD5E9-3317-4865-A6F3-80EDBD0C4602}" name="Std PROB_OF_YES"/>
    <tableColumn id="11" xr3:uid="{4349A3FF-76C3-41FA-8206-60C2143ED864}" name="Lift" dataDxfId="386">
      <calculatedColumnFormula>Table40[[#This Row],[Target Rate]]/'[1]Data Preprocessing'!$C$20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629A36F-B18D-4C5C-9677-DC0C6315D40E}" name="Table41" displayName="Table41" ref="M95:W105" totalsRowShown="0" headerRowDxfId="385" headerRowBorderDxfId="384" tableBorderDxfId="383">
  <autoFilter ref="M95:W105" xr:uid="{E629A36F-B18D-4C5C-9677-DC0C6315D40E}"/>
  <tableColumns count="11">
    <tableColumn id="10" xr3:uid="{48303F02-F6F1-40BA-81D5-CFBAD705BF31}" name="Decile"/>
    <tableColumn id="1" xr3:uid="{BE7DC13A-DC93-49C6-82B4-81674CF89700}" name="Counts"/>
    <tableColumn id="2" xr3:uid="{9C0846CF-CE31-43E5-9958-18A5625E709E}" name="Positive Target"/>
    <tableColumn id="3" xr3:uid="{43BDF6B2-D9BD-4E45-8EA3-9B4831010AD4}" name="Target Rate"/>
    <tableColumn id="4" xr3:uid="{8FEEB7A7-37F3-45B2-9AE8-5A16BFEB122C}" name="Overall_Target PCT"/>
    <tableColumn id="5" xr3:uid="{D1D6A385-0725-41EF-9506-6626102DFF28}" name="Min PROB_OF_YES"/>
    <tableColumn id="6" xr3:uid="{A5B4E017-7972-47D0-BDBF-74E9112C923F}" name="Max PROB_OF_YES"/>
    <tableColumn id="7" xr3:uid="{3268D6B2-0A08-471F-8097-DAF65A2421DA}" name="Mean PROB_OF_YES"/>
    <tableColumn id="8" xr3:uid="{0550D93B-2D6B-4D88-A27A-C2AA434FC49A}" name="Median PROB_OF_YES"/>
    <tableColumn id="9" xr3:uid="{DC175981-6927-42F2-8B28-7EE569AEC8FA}" name="Std PROB_OF_YES"/>
    <tableColumn id="11" xr3:uid="{9C1E7099-563C-4C53-9C14-295FAF5B4BA2}" name="Lift" dataDxfId="382">
      <calculatedColumnFormula>Table41[[#This Row],[Target Rate]]/'[1]Data Preprocessing'!$F$20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3205D0E-6455-47E2-936C-754E632F4B96}" name="Table42" displayName="Table42" ref="Y95:AI106" totalsRowCount="1" headerRowDxfId="381" headerRowBorderDxfId="380" tableBorderDxfId="379">
  <autoFilter ref="Y95:AI105" xr:uid="{53205D0E-6455-47E2-936C-754E632F4B96}"/>
  <tableColumns count="11">
    <tableColumn id="10" xr3:uid="{6215DCB4-5AA2-4BAF-9D39-7CFE7CD8D2E7}" name="Decile"/>
    <tableColumn id="1" xr3:uid="{C50C0FC2-EDDC-4671-AB21-4F6D5C2B060E}" name="Counts" totalsRowFunction="custom">
      <totalsRowFormula>SUM(Table42[Counts])</totalsRowFormula>
    </tableColumn>
    <tableColumn id="2" xr3:uid="{331010FC-19BC-4A3F-BBF5-6BA7FE4647D0}" name="Positive Target" totalsRowFunction="custom">
      <totalsRowFormula>SUM(Table42[Positive Target])</totalsRowFormula>
    </tableColumn>
    <tableColumn id="3" xr3:uid="{EB5B73D8-81F3-40EF-832C-D87F997D9664}" name="Target Rate" totalsRowFunction="custom">
      <totalsRowFormula>Table42[[#Totals],[Positive Target]]/Table42[[#Totals],[Counts]]*100</totalsRowFormula>
    </tableColumn>
    <tableColumn id="4" xr3:uid="{7DB88732-23FD-4BC2-9964-841E78EAD617}" name="Overall_Target PCT"/>
    <tableColumn id="5" xr3:uid="{262A2E19-8C25-48D1-8720-82A34E82077E}" name="Min PROB_OF_YES"/>
    <tableColumn id="6" xr3:uid="{DBBF8DF7-10EA-44C9-9307-4F3BCE411DB1}" name="Max PROB_OF_YES"/>
    <tableColumn id="7" xr3:uid="{F602FC4E-404D-4C9C-A0B2-CBE019912181}" name="Mean PROB_OF_YES"/>
    <tableColumn id="8" xr3:uid="{851D7A01-6B05-411E-9065-59E1E0FE5E85}" name="Median PROB_OF_YES"/>
    <tableColumn id="9" xr3:uid="{EC40F63B-A295-46D2-8604-B6F3913622A7}" name="Std PROB_OF_YES"/>
    <tableColumn id="11" xr3:uid="{24FBE23A-E8E5-4E2D-8CD8-FCD50ED63A11}" name="Lift" dataDxfId="0">
      <calculatedColumnFormula>Table42[[#This Row],[Target Rate]]/Table42[[#Totals],[Target Rate]]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FFFD317-0577-44A9-B17B-E2B430AAAC06}" name="Table43" displayName="Table43" ref="B107:C119" totalsRowShown="0">
  <autoFilter ref="B107:C119" xr:uid="{8FFFD317-0577-44A9-B17B-E2B430AAAC06}"/>
  <sortState xmlns:xlrd2="http://schemas.microsoft.com/office/spreadsheetml/2017/richdata2" ref="B108:C119">
    <sortCondition descending="1" ref="C107:C119"/>
  </sortState>
  <tableColumns count="2">
    <tableColumn id="1" xr3:uid="{AD09C038-6526-4A54-B2B9-E42A6EFDECFA}" name="Feature"/>
    <tableColumn id="2" xr3:uid="{8D8515F8-FC31-4BAE-A61B-FD08574C09B5}" name="Importance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4D43DEA-D70E-4F78-91EB-A5411F874F01}" name="Table44" displayName="Table44" ref="A123:K134" totalsRowCount="1" headerRowDxfId="378" headerRowBorderDxfId="377" tableBorderDxfId="376">
  <autoFilter ref="A123:K133" xr:uid="{84D43DEA-D70E-4F78-91EB-A5411F874F01}"/>
  <tableColumns count="11">
    <tableColumn id="10" xr3:uid="{97201793-CA35-4141-8E5D-61DDFE6E8A09}" name="Decile"/>
    <tableColumn id="1" xr3:uid="{4489DAE0-3C53-4638-84F9-92E94A0DBC0C}" name="Counts" totalsRowFunction="custom">
      <totalsRowFormula>SUM(Table44[Counts])</totalsRowFormula>
    </tableColumn>
    <tableColumn id="2" xr3:uid="{815D7333-15B0-4422-818F-CC8B69DB8F72}" name="Positive Target" totalsRowFunction="custom">
      <totalsRowFormula>SUM(Table44[Positive Target])</totalsRowFormula>
    </tableColumn>
    <tableColumn id="3" xr3:uid="{E811D0BA-6BE2-4327-BCF3-60CAEA1DDF09}" name="Target Rate" totalsRowFunction="custom">
      <totalsRowFormula>Table44[[#Totals],[Positive Target]]/Table44[[#Totals],[Counts]]*100</totalsRowFormula>
    </tableColumn>
    <tableColumn id="4" xr3:uid="{2A83E46B-D5AE-4E30-97D9-390F74139FEE}" name="Overall_Target PCT"/>
    <tableColumn id="5" xr3:uid="{8DBCF587-9139-4195-9C70-64D63C17BF60}" name="Min PROB_OF_YES"/>
    <tableColumn id="6" xr3:uid="{E151DECB-DC86-44CA-A580-F1F68CDD7DDC}" name="Max PROB_OF_YES"/>
    <tableColumn id="7" xr3:uid="{A54F25F5-EC9B-4DC3-B4A4-B26C8861719A}" name="Mean PROB_OF_YES"/>
    <tableColumn id="8" xr3:uid="{3F6F5EB1-2BC3-42AB-9F49-0CA1DCC0A26D}" name="Median PROB_OF_YES"/>
    <tableColumn id="9" xr3:uid="{13ECA569-3987-40ED-B02A-DCE779C5E7FC}" name="Std PROB_OF_YES"/>
    <tableColumn id="11" xr3:uid="{E59EC77B-193D-4404-8565-224464BD971E}" name="Lift" dataDxfId="375">
      <calculatedColumnFormula>Table44[[#This Row],[Target Rate]]/Table44[[#Totals],[Target Rate]]</calculatedColumnFormula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FD44AC1-D41B-47F2-9B4E-8C4212EFE5C1}" name="Table45" displayName="Table45" ref="M123:W134" totalsRowCount="1" headerRowDxfId="374" headerRowBorderDxfId="373" tableBorderDxfId="372">
  <autoFilter ref="M123:W133" xr:uid="{6FD44AC1-D41B-47F2-9B4E-8C4212EFE5C1}"/>
  <tableColumns count="11">
    <tableColumn id="10" xr3:uid="{0F866AA0-4581-4824-BE44-659908122FAB}" name="Decile"/>
    <tableColumn id="1" xr3:uid="{07B8AA58-074C-4A6B-A3D3-777B60253A44}" name="Counts" totalsRowFunction="custom">
      <totalsRowFormula>SUM(Table45[Counts])</totalsRowFormula>
    </tableColumn>
    <tableColumn id="2" xr3:uid="{442DCF31-C7C8-4C42-9D52-A53F2A171169}" name="Positive Target" totalsRowFunction="custom">
      <totalsRowFormula>SUM(Table45[Positive Target])</totalsRowFormula>
    </tableColumn>
    <tableColumn id="3" xr3:uid="{94398272-88DC-44C7-B802-07B4C28A4B20}" name="Target Rate" totalsRowFunction="custom">
      <totalsRowFormula>Table45[[#Totals],[Positive Target]]/Table45[[#Totals],[Counts]]*100</totalsRowFormula>
    </tableColumn>
    <tableColumn id="4" xr3:uid="{3F3F5F01-4C74-4A9C-A00F-7D855DBFA535}" name="Overall_Target PCT"/>
    <tableColumn id="5" xr3:uid="{4063D2B0-B1EB-4D6B-B2CB-652E1C443E38}" name="Min PROB_OF_YES"/>
    <tableColumn id="6" xr3:uid="{2A53B72E-8C7B-4281-9051-B5AEFD9CF46F}" name="Max PROB_OF_YES"/>
    <tableColumn id="7" xr3:uid="{DDD2BFFF-8FF0-4807-8411-D1F81C110FBD}" name="Mean PROB_OF_YES"/>
    <tableColumn id="8" xr3:uid="{E22E21D6-22F2-40CE-B46E-15EFE176C187}" name="Median PROB_OF_YES"/>
    <tableColumn id="9" xr3:uid="{DCBA887B-3A8F-4731-BEAD-9A0231A22AFD}" name="Std PROB_OF_YES"/>
    <tableColumn id="11" xr3:uid="{6A7F8ED8-5840-4BA7-AA2F-00BD4C9137C0}" name="Lift" dataDxfId="371">
      <calculatedColumnFormula>Table45[[#This Row],[Target Rate]]/Table45[[#Totals],[Target Rate]]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E0DC793-0EBF-4FC8-9438-703EE4A66CFA}" name="Table46" displayName="Table46" ref="Y123:AI134" totalsRowCount="1" headerRowDxfId="370" headerRowBorderDxfId="369" tableBorderDxfId="368">
  <autoFilter ref="Y123:AI133" xr:uid="{2E0DC793-0EBF-4FC8-9438-703EE4A66CFA}"/>
  <tableColumns count="11">
    <tableColumn id="10" xr3:uid="{D899AFD2-D9B0-4E6D-BFC6-0C2547C549FD}" name="Decile"/>
    <tableColumn id="1" xr3:uid="{060D2CBC-A551-4BC3-98C2-FE9A4C107F52}" name="Counts" totalsRowFunction="custom">
      <totalsRowFormula>SUM(Table46[Counts])</totalsRowFormula>
    </tableColumn>
    <tableColumn id="2" xr3:uid="{A42A4A31-E10B-495E-982C-501EC186CCEE}" name="Positive Target" totalsRowFunction="custom">
      <totalsRowFormula>SUM(Table46[Positive Target])</totalsRowFormula>
    </tableColumn>
    <tableColumn id="3" xr3:uid="{3CF006EB-2075-4B1A-A761-AAC981253800}" name="Target Rate" totalsRowFunction="custom">
      <totalsRowFormula>Table46[[#Totals],[Positive Target]]/Table46[[#Totals],[Counts]]*100</totalsRowFormula>
    </tableColumn>
    <tableColumn id="4" xr3:uid="{24B63CE0-866C-47B6-81E3-F87525CA2E1E}" name="Overall_Target PCT"/>
    <tableColumn id="5" xr3:uid="{5AF8E9EC-0880-45B9-858D-35FBE16ECC1A}" name="Min PROB_OF_YES"/>
    <tableColumn id="6" xr3:uid="{DCA1BF9F-D965-48D0-B5F3-78B9FADDADE0}" name="Max PROB_OF_YES"/>
    <tableColumn id="7" xr3:uid="{3F0680F4-69BC-42EF-937D-471710769A96}" name="Mean PROB_OF_YES"/>
    <tableColumn id="8" xr3:uid="{51BE112C-F5F3-4404-9C17-940FC766C381}" name="Median PROB_OF_YES"/>
    <tableColumn id="9" xr3:uid="{C5760863-FFBB-48CE-ADF2-15BBEB643D77}" name="Std PROB_OF_YES"/>
    <tableColumn id="11" xr3:uid="{B1881408-4CF1-4309-95AE-B3A195DFF51F}" name="Lift" dataDxfId="367">
      <calculatedColumnFormula>Table46[[#This Row],[Target Rate]]/Table46[[#Totals],[Target Rate]]</calculatedColumnFormula>
    </tableColumn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8AF7D49-5518-4CE9-B066-EADD7C1D89F4}" name="Table47" displayName="Table47" ref="A137:K148" totalsRowCount="1" headerRowDxfId="366" headerRowBorderDxfId="365" tableBorderDxfId="364">
  <autoFilter ref="A137:K147" xr:uid="{08AF7D49-5518-4CE9-B066-EADD7C1D89F4}"/>
  <tableColumns count="11">
    <tableColumn id="10" xr3:uid="{D35E259E-3F0D-4EAB-8120-7C3947EFD6DA}" name="Decile"/>
    <tableColumn id="1" xr3:uid="{67B0AE64-E98D-4AB7-B2A1-BD950B820CF6}" name="Counts" totalsRowFunction="custom" dataDxfId="363" totalsRowDxfId="362" dataCellStyle="Comma" totalsRowCellStyle="Comma">
      <totalsRowFormula>SUM(Table47[Counts])</totalsRowFormula>
    </tableColumn>
    <tableColumn id="2" xr3:uid="{06FA7476-9644-4FA4-A90D-562D6C775EA7}" name="Positive Target" totalsRowFunction="custom">
      <totalsRowFormula>SUM(Table47[Positive Target])</totalsRowFormula>
    </tableColumn>
    <tableColumn id="3" xr3:uid="{2DF57EC8-90FB-4375-9EE4-93980216405E}" name="Target Rate" totalsRowFunction="custom" totalsRowDxfId="361">
      <totalsRowFormula>Table47[[#Totals],[Positive Target]]/Table47[[#Totals],[Counts]]*100</totalsRowFormula>
    </tableColumn>
    <tableColumn id="4" xr3:uid="{34906848-9751-4CAE-9C3C-9FCABDFE5BB5}" name="Overall_Target PCT"/>
    <tableColumn id="5" xr3:uid="{E0FD6D2A-FCAE-4D7C-B6CF-CC935560CFE3}" name="Min PROB_OF_YES"/>
    <tableColumn id="6" xr3:uid="{69535A9B-E298-4EF2-BA39-37D06641554B}" name="Max PROB_OF_YES"/>
    <tableColumn id="7" xr3:uid="{4A650499-DCD3-4BA6-9AEA-F55845815824}" name="Mean PROB_OF_YES"/>
    <tableColumn id="8" xr3:uid="{375A8C2B-63DE-4B24-90F1-E1297022F522}" name="Median PROB_OF_YES"/>
    <tableColumn id="9" xr3:uid="{C44B0450-4F16-4F45-A4C4-A73276F09868}" name="Std PROB_OF_YES"/>
    <tableColumn id="11" xr3:uid="{C01EBCF1-FA7B-4EA4-8B5E-680C0F6CEEED}" name="Lift" dataDxfId="360">
      <calculatedColumnFormula>Table47[[#This Row],[Target Rate]]/Table47[[#Totals],[Target Rate]]</calculatedColumnFormula>
    </tableColumn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872D5F1-2162-43D8-B34E-09DA773F5D2F}" name="Table48" displayName="Table48" ref="M137:W148" totalsRowCount="1" headerRowDxfId="359" headerRowBorderDxfId="358" tableBorderDxfId="357">
  <autoFilter ref="M137:W147" xr:uid="{F872D5F1-2162-43D8-B34E-09DA773F5D2F}"/>
  <tableColumns count="11">
    <tableColumn id="10" xr3:uid="{38FD057A-456F-4FAD-8DF5-B6F0562B5536}" name="Decile"/>
    <tableColumn id="1" xr3:uid="{3B27C236-8261-470C-8FEE-718E445CC2C4}" name="Counts" totalsRowFunction="custom">
      <totalsRowFormula>SUM(Table48[Counts])</totalsRowFormula>
    </tableColumn>
    <tableColumn id="2" xr3:uid="{A889AA71-6CDD-4367-916F-2942AB1B3F77}" name="Positive Target" totalsRowFunction="custom">
      <totalsRowFormula>SUM(Table48[Positive Target])</totalsRowFormula>
    </tableColumn>
    <tableColumn id="3" xr3:uid="{562788D0-CB03-4B2B-BD5A-340F6B8E3A70}" name="Target Rate" totalsRowFunction="custom">
      <totalsRowFormula>Table48[[#Totals],[Positive Target]]/Table48[[#Totals],[Counts]]*100</totalsRowFormula>
    </tableColumn>
    <tableColumn id="4" xr3:uid="{C817C288-92FA-47CD-987A-49D9A2013D64}" name="Overall_Target PCT"/>
    <tableColumn id="5" xr3:uid="{D89E4F84-46E2-47E9-B6C8-8377AD2D8E30}" name="Min PROB_OF_YES"/>
    <tableColumn id="6" xr3:uid="{708B8AE6-A872-4E2B-915F-C3CABAA0892B}" name="Max PROB_OF_YES"/>
    <tableColumn id="7" xr3:uid="{E41EDAC9-9B26-48AA-9F35-5543746A2688}" name="Mean PROB_OF_YES"/>
    <tableColumn id="8" xr3:uid="{53EDCDE0-84E0-462B-8AE2-469626C67450}" name="Median PROB_OF_YES"/>
    <tableColumn id="9" xr3:uid="{0BB68663-F918-4ACB-BBCE-181CE65329B1}" name="Std PROB_OF_YES"/>
    <tableColumn id="11" xr3:uid="{3057AEE0-FBBB-43B2-8FB1-B867A10F158C}" name="Lift" dataDxfId="356">
      <calculatedColumnFormula>Table48[[#This Row],[Target Rate]]/Table48[[#Totals],[Target Rate]]</calculatedColumnFormula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D8394F0-3AA0-46FA-AF16-9C4C7FE016F1}" name="Table49" displayName="Table49" ref="Y137:AI148" totalsRowCount="1" headerRowDxfId="355" headerRowBorderDxfId="354" tableBorderDxfId="353">
  <autoFilter ref="Y137:AI147" xr:uid="{BD8394F0-3AA0-46FA-AF16-9C4C7FE016F1}"/>
  <tableColumns count="11">
    <tableColumn id="10" xr3:uid="{C42C85F2-D029-4C27-BEA1-18ECD1FFAD72}" name="Decile"/>
    <tableColumn id="1" xr3:uid="{B14AADC4-DE06-4CD3-A059-1CC8BADC56D0}" name="Counts" totalsRowFunction="custom">
      <totalsRowFormula>SUM(Table49[Counts])</totalsRowFormula>
    </tableColumn>
    <tableColumn id="2" xr3:uid="{6111FA91-3F6E-4FBE-87A1-1A3BFBF3409A}" name="Positive Target" totalsRowFunction="custom">
      <totalsRowFormula>SUM(Table49[Positive Target])</totalsRowFormula>
    </tableColumn>
    <tableColumn id="3" xr3:uid="{0988828C-6CA7-48F6-8C50-9373FC07B759}" name="Target Rate" totalsRowFunction="custom">
      <totalsRowFormula>Table49[[#Totals],[Positive Target]]/Table49[[#Totals],[Counts]]*100</totalsRowFormula>
    </tableColumn>
    <tableColumn id="4" xr3:uid="{D03F47C5-AB69-46CD-A1EF-6D5AEAD6C018}" name="Overall_Target PCT"/>
    <tableColumn id="5" xr3:uid="{170A587E-5634-4861-BD19-7037265DEDF4}" name="Min PROB_OF_YES"/>
    <tableColumn id="6" xr3:uid="{2D154925-C959-45E5-9732-B16D579B1E49}" name="Max PROB_OF_YES"/>
    <tableColumn id="7" xr3:uid="{D0F94213-5C36-4363-9747-965CA3451567}" name="Mean PROB_OF_YES"/>
    <tableColumn id="8" xr3:uid="{F4EFD277-2908-49A7-BA21-C805457B75F1}" name="Median PROB_OF_YES"/>
    <tableColumn id="9" xr3:uid="{339DA5B6-7227-452A-B688-3CC2817183C8}" name="Std PROB_OF_YES"/>
    <tableColumn id="11" xr3:uid="{AEAFFEBA-D5E9-4508-B56C-FE72B157068F}" name="Lift" dataDxfId="352">
      <calculatedColumnFormula>Table49[[#This Row],[Target Rate]]/Table49[[#Totals],[Target Rate]]</calculatedColumnFormula>
    </tableColumn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CFB1F48-EAD6-43F3-B71F-282814A2D6C0}" name="Table50" displayName="Table50" ref="A33:K44" totalsRowCount="1" headerRowDxfId="351" headerRowBorderDxfId="350" tableBorderDxfId="349">
  <autoFilter ref="A33:K43" xr:uid="{0CFB1F48-EAD6-43F3-B71F-282814A2D6C0}"/>
  <tableColumns count="11">
    <tableColumn id="10" xr3:uid="{12AD2B4D-EC99-4E4C-A409-A49E33F88676}" name="Decile"/>
    <tableColumn id="1" xr3:uid="{85649885-4250-4677-BE2E-8CB34A741BE2}" name="Counts" totalsRowFunction="custom">
      <totalsRowFormula>SUM(Table50[Counts])</totalsRowFormula>
    </tableColumn>
    <tableColumn id="2" xr3:uid="{5224E7E5-CD41-4ECC-BA9E-FA0ED9247428}" name="Positive Target" totalsRowFunction="custom">
      <totalsRowFormula>SUM(Table50[Positive Target])</totalsRowFormula>
    </tableColumn>
    <tableColumn id="3" xr3:uid="{2AEA2EEF-F2CD-4A15-8D50-11F3E18739D6}" name="Target Rate" totalsRowFunction="custom">
      <totalsRowFormula>Table50[[#Totals],[Positive Target]]/Table50[[#Totals],[Counts]]*100</totalsRowFormula>
    </tableColumn>
    <tableColumn id="4" xr3:uid="{CF128105-7C81-4D14-B897-D804D5AA8ECE}" name="Overall_Target PCT"/>
    <tableColumn id="5" xr3:uid="{D9EA76A8-5C10-4B55-AA28-5A4CC6F20412}" name="Min PROB_OF_YES"/>
    <tableColumn id="6" xr3:uid="{30E85949-AE65-48AE-A2DD-40316FCE55AC}" name="Max PROB_OF_YES"/>
    <tableColumn id="7" xr3:uid="{82D12491-F669-4838-ACB4-04251D51A806}" name="Mean PROB_OF_YES"/>
    <tableColumn id="8" xr3:uid="{9A200F4D-673F-4FAB-B3F3-8D86D909AAB0}" name="Median PROB_OF_YES"/>
    <tableColumn id="9" xr3:uid="{E17CEB4C-44FA-4DD7-9F74-CD8DB599091B}" name="Std PROB_OF_YES"/>
    <tableColumn id="11" xr3:uid="{5186D226-2CB5-4CFF-A167-E5C24C59664A}" name="Lift" dataDxfId="348" totalsRowDxfId="347">
      <calculatedColumnFormula>Table50[[#This Row],[Target Rate]]/Table50[[#Totals],[Target Rate]]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D2806C9-6996-420B-993E-179EAEFF729A}" name="Table51" displayName="Table51" ref="M33:W44" totalsRowCount="1" headerRowDxfId="346" headerRowBorderDxfId="345" tableBorderDxfId="344">
  <autoFilter ref="M33:W43" xr:uid="{1D2806C9-6996-420B-993E-179EAEFF729A}"/>
  <tableColumns count="11">
    <tableColumn id="10" xr3:uid="{EA5446EE-3F47-4689-8B4A-6013000C1A29}" name="Decile"/>
    <tableColumn id="1" xr3:uid="{BB70F6A2-081E-4781-959E-6DD031E6C423}" name="Counts" totalsRowFunction="custom">
      <totalsRowFormula>SUM(Table51[Counts])</totalsRowFormula>
    </tableColumn>
    <tableColumn id="2" xr3:uid="{1CBC92C9-6D7D-430A-83E0-403211E60907}" name="Positive Target" totalsRowFunction="custom">
      <totalsRowFormula>SUM(Table51[Positive Target])</totalsRowFormula>
    </tableColumn>
    <tableColumn id="3" xr3:uid="{B8E540CB-E002-481D-A470-09BA3009146F}" name="Target Rate" totalsRowFunction="custom">
      <totalsRowFormula>Table51[[#Totals],[Positive Target]]/Table51[[#Totals],[Counts]]*100</totalsRowFormula>
    </tableColumn>
    <tableColumn id="4" xr3:uid="{B4DD490B-350E-42B4-A0B3-F52884105337}" name="Overall_Target PCT"/>
    <tableColumn id="5" xr3:uid="{9313AE5A-D004-45E6-AE4D-C2629FEC849C}" name="Min PROB_OF_YES"/>
    <tableColumn id="6" xr3:uid="{E84F668C-46B8-4B06-9256-253BCE1D6EA4}" name="Max PROB_OF_YES"/>
    <tableColumn id="7" xr3:uid="{BAD6543F-263F-4295-BC8A-C6C10F405E4F}" name="Mean PROB_OF_YES"/>
    <tableColumn id="8" xr3:uid="{9AED29B1-A98D-4B8C-BFB4-0815A23F9E7A}" name="Median PROB_OF_YES"/>
    <tableColumn id="9" xr3:uid="{DDB779FD-91EE-4CC5-B8EB-030289EA6DE1}" name="Std PROB_OF_YES"/>
    <tableColumn id="11" xr3:uid="{F51B4D07-639F-4C2E-A928-80B5F97B0CFD}" name="Lift" dataDxfId="343" totalsRowDxfId="342">
      <calculatedColumnFormula>Table51[[#This Row],[Target Rate]]/Table51[[#Totals],[Target Rate]]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67B2366-4F40-436C-B7CB-CC08753A5134}" name="Table52" displayName="Table52" ref="Y33:AI44" totalsRowCount="1" headerRowDxfId="341" headerRowBorderDxfId="340" tableBorderDxfId="339">
  <autoFilter ref="Y33:AI43" xr:uid="{267B2366-4F40-436C-B7CB-CC08753A5134}"/>
  <tableColumns count="11">
    <tableColumn id="10" xr3:uid="{4C799FF1-3CED-4249-9DC1-642A1E71B1EE}" name="Decile"/>
    <tableColumn id="1" xr3:uid="{D16810B1-1159-4660-BC59-27F4296070A5}" name="Counts" totalsRowFunction="custom">
      <totalsRowFormula>SUM(Table52[Counts])</totalsRowFormula>
    </tableColumn>
    <tableColumn id="2" xr3:uid="{0F0EBE02-50CB-4107-8167-4B381BB85E15}" name="Positive Target" totalsRowFunction="custom">
      <totalsRowFormula>SUM(Table52[Positive Target])</totalsRowFormula>
    </tableColumn>
    <tableColumn id="3" xr3:uid="{DB8B32AE-EBAB-461C-9970-39D9EF5321B8}" name="Target Rate" totalsRowFunction="custom">
      <totalsRowFormula>Table52[[#Totals],[Positive Target]]/Table52[[#Totals],[Counts]]*100</totalsRowFormula>
    </tableColumn>
    <tableColumn id="4" xr3:uid="{A9BA6DD2-70E3-47F1-BFDF-2894B629A485}" name="Overall_Target PCT"/>
    <tableColumn id="5" xr3:uid="{1F30CD3D-7C87-4190-AA8E-CCF0C8A21F9B}" name="Min PROB_OF_YES"/>
    <tableColumn id="6" xr3:uid="{58FD69B7-6AB0-41D7-96F5-0E0BED1060DB}" name="Max PROB_OF_YES"/>
    <tableColumn id="7" xr3:uid="{B0BEF0CD-0499-45F7-AD1D-36C8F4C5339F}" name="Mean PROB_OF_YES"/>
    <tableColumn id="8" xr3:uid="{303DE47F-A919-44C7-9F6D-C03647679636}" name="Median PROB_OF_YES"/>
    <tableColumn id="9" xr3:uid="{5FD66561-DA8D-4A50-B943-239438B634C8}" name="Std PROB_OF_YES"/>
    <tableColumn id="11" xr3:uid="{39426A4D-B729-489F-A0B0-4B95FDD1A331}" name="Lift" dataDxfId="338" totalsRowDxfId="337">
      <calculatedColumnFormula>Table52[[#This Row],[Target Rate]]/Table52[[#Totals],[Target Rate]]</calculatedColumnFormula>
    </tableColumn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30A1211-A8E4-4BA9-ADD2-FA4116B21D58}" name="Table53" displayName="Table53" ref="A47:K58" totalsRowCount="1" headerRowDxfId="336" headerRowBorderDxfId="335" tableBorderDxfId="334">
  <autoFilter ref="A47:K57" xr:uid="{930A1211-A8E4-4BA9-ADD2-FA4116B21D58}"/>
  <tableColumns count="11">
    <tableColumn id="10" xr3:uid="{E443C1C1-1136-413A-92D6-6C9D06199920}" name="Decile"/>
    <tableColumn id="1" xr3:uid="{0B379AE6-ECE1-4375-B8CC-CC84994A1506}" name="Counts" totalsRowFunction="custom">
      <totalsRowFormula>SUM(Table53[Counts])</totalsRowFormula>
    </tableColumn>
    <tableColumn id="2" xr3:uid="{9006CAD2-3C16-476E-8682-0BE2329347E3}" name="Positive Target" totalsRowFunction="custom">
      <totalsRowFormula>SUM(Table53[Positive Target])</totalsRowFormula>
    </tableColumn>
    <tableColumn id="3" xr3:uid="{BA447646-B354-4DB0-8780-20AE4B84A7D8}" name="Target Rate" totalsRowFunction="custom">
      <totalsRowFormula>Table53[[#Totals],[Positive Target]]/Table53[[#Totals],[Counts]]*100</totalsRowFormula>
    </tableColumn>
    <tableColumn id="4" xr3:uid="{E33490AA-CBED-45D8-A545-0DF83D6AD08E}" name="Overall_Target PCT"/>
    <tableColumn id="5" xr3:uid="{FB286BCE-4FE5-48A9-8A38-75162E39407E}" name="Min PROB_OF_YES"/>
    <tableColumn id="6" xr3:uid="{5A3F6726-C209-4153-A6E4-5E18839FC1F4}" name="Max PROB_OF_YES"/>
    <tableColumn id="7" xr3:uid="{94416141-3134-4B33-9663-3221EA9E6A85}" name="Mean PROB_OF_YES"/>
    <tableColumn id="8" xr3:uid="{90B354A2-3054-47BF-8179-8F8D5304A159}" name="Median PROB_OF_YES"/>
    <tableColumn id="9" xr3:uid="{91248C37-F5F6-4C7E-8A0F-F188408D37DC}" name="Std PROB_OF_YES"/>
    <tableColumn id="11" xr3:uid="{31D3F862-D934-415C-A08C-C292662BEE40}" name="Lift" dataDxfId="333" totalsRowDxfId="332">
      <calculatedColumnFormula>Table53[[#This Row],[Target Rate]]/Table53[[#Totals],[Target Rate]]</calculatedColumnFormula>
    </tableColumn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C83073C-F338-40EB-B724-1F9D6EE27BB4}" name="Table54" displayName="Table54" ref="M47:W58" totalsRowCount="1" headerRowDxfId="331" headerRowBorderDxfId="330" tableBorderDxfId="329">
  <autoFilter ref="M47:W57" xr:uid="{5C83073C-F338-40EB-B724-1F9D6EE27BB4}"/>
  <tableColumns count="11">
    <tableColumn id="10" xr3:uid="{3295BFBB-6593-41BE-9232-BDD0EB210F08}" name="Decile"/>
    <tableColumn id="1" xr3:uid="{9509DB93-7DEC-4F12-BEEE-A8AB9B69C615}" name="Counts" totalsRowFunction="custom">
      <totalsRowFormula>SUM(Table54[Counts])</totalsRowFormula>
    </tableColumn>
    <tableColumn id="2" xr3:uid="{B7069EBD-A68E-4F53-8C82-BF82BBF89BE3}" name="Positive Target" totalsRowFunction="custom">
      <totalsRowFormula>SUM(Table54[Positive Target])</totalsRowFormula>
    </tableColumn>
    <tableColumn id="3" xr3:uid="{0E62D373-6D35-4B1F-9AE9-3FC0184AD13D}" name="Target Rate" totalsRowFunction="custom">
      <totalsRowFormula>Table54[[#Totals],[Positive Target]]/Table54[[#Totals],[Counts]]*100</totalsRowFormula>
    </tableColumn>
    <tableColumn id="4" xr3:uid="{32DB6274-CA04-4A2D-9B4F-C9C5E5F60D30}" name="Overall_Target PCT"/>
    <tableColumn id="5" xr3:uid="{2119EA5B-54EC-4530-A33D-42543CE39FD8}" name="Min PROB_OF_YES"/>
    <tableColumn id="6" xr3:uid="{FC447946-13E5-40B6-A841-D9236B4E814D}" name="Max PROB_OF_YES"/>
    <tableColumn id="7" xr3:uid="{0F31BE8F-823F-45C3-ABDA-C6BFECB84BF3}" name="Mean PROB_OF_YES"/>
    <tableColumn id="8" xr3:uid="{FB59A049-8421-4AA9-BC72-25C76ECA1F13}" name="Median PROB_OF_YES"/>
    <tableColumn id="9" xr3:uid="{B992D9D0-983F-4946-B50F-3DBA5BE04707}" name="Std PROB_OF_YES"/>
    <tableColumn id="11" xr3:uid="{A7632233-594A-4CEC-AD25-6C6FD5AF691A}" name="Lift" dataDxfId="328" totalsRowDxfId="327">
      <calculatedColumnFormula>Table54[[#This Row],[Target Rate]]/Table54[[#Totals],[Target Rate]]</calculatedColumnFormula>
    </tableColumn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E3456AA-4650-4DE8-974F-CF538BFB2DA9}" name="Table55" displayName="Table55" ref="Y47:AI58" totalsRowCount="1" headerRowDxfId="326" headerRowBorderDxfId="325" tableBorderDxfId="324">
  <autoFilter ref="Y47:AI57" xr:uid="{EE3456AA-4650-4DE8-974F-CF538BFB2DA9}"/>
  <tableColumns count="11">
    <tableColumn id="10" xr3:uid="{52B5055E-4860-4921-B54C-29137B98EC49}" name="Decile"/>
    <tableColumn id="1" xr3:uid="{775B346D-074E-4B1D-AB07-45D27A7C8088}" name="Counts" totalsRowFunction="custom">
      <totalsRowFormula>SUM(Table55[Counts])</totalsRowFormula>
    </tableColumn>
    <tableColumn id="2" xr3:uid="{9CAC72AF-3090-4F21-A679-B9603C19559C}" name="Positive Target" totalsRowFunction="custom">
      <totalsRowFormula>SUM(Table55[Positive Target])</totalsRowFormula>
    </tableColumn>
    <tableColumn id="3" xr3:uid="{BEE710C8-85E1-4C5C-8E7C-BD1E506A62E8}" name="Target Rate" totalsRowFunction="custom">
      <totalsRowFormula>Table55[[#Totals],[Positive Target]]/Table55[[#Totals],[Counts]]*100</totalsRowFormula>
    </tableColumn>
    <tableColumn id="4" xr3:uid="{7D95F948-FD65-4FA3-A5A3-0B742BD39F97}" name="Overall_Target PCT"/>
    <tableColumn id="5" xr3:uid="{435FF26A-9690-4867-BA67-B399A91DE438}" name="Min PROB_OF_YES"/>
    <tableColumn id="6" xr3:uid="{C0260F28-DAA6-49AD-B2FC-4069313B6629}" name="Max PROB_OF_YES"/>
    <tableColumn id="7" xr3:uid="{5EC8E8EA-5329-4D23-8DAC-8AFC56AF8DDE}" name="Mean PROB_OF_YES"/>
    <tableColumn id="8" xr3:uid="{B83AF21C-92AF-41F6-9ECA-ED3855F603B7}" name="Median PROB_OF_YES"/>
    <tableColumn id="9" xr3:uid="{78DDDCBD-234C-48C6-A4A6-6BDD97864A1E}" name="Std PROB_OF_YES"/>
    <tableColumn id="11" xr3:uid="{DC3E1629-9A2B-4B85-81D7-28FB13AA1076}" name="Lift" dataDxfId="323" totalsRowDxfId="322">
      <calculatedColumnFormula>Table55[[#This Row],[Target Rate]]/Table55[[#Totals],[Target Rate]]</calculatedColumnFormula>
    </tableColumn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2A65820-2927-4EBE-A41F-2C111EF8294E}" name="Table56" displayName="Table56" ref="A151:J158" totalsRowShown="0" headerRowDxfId="321" headerRowBorderDxfId="320" tableBorderDxfId="319">
  <autoFilter ref="A151:J158" xr:uid="{82A65820-2927-4EBE-A41F-2C111EF8294E}"/>
  <tableColumns count="10">
    <tableColumn id="1" xr3:uid="{99EE9D82-4332-45F4-8B05-65E36361F6C2}" name="Bin"/>
    <tableColumn id="2" xr3:uid="{6D227E2F-AC9C-4D3A-8511-A4B67A1A4EF2}" name="Counts"/>
    <tableColumn id="3" xr3:uid="{5AD9EA3F-A39F-4BFD-98E2-79D069535664}" name="Positive Target"/>
    <tableColumn id="4" xr3:uid="{BA2521EE-ECBF-4D31-8353-46EB3142D365}" name="Target Rate"/>
    <tableColumn id="5" xr3:uid="{928A76AF-701B-4012-833B-E1845EE4A9C0}" name="Overall_Target PCT"/>
    <tableColumn id="6" xr3:uid="{1DEAD2CC-0332-41BC-8480-FE4BE209B1EF}" name="Min PROB_OF_YES"/>
    <tableColumn id="7" xr3:uid="{9886BDFB-32F8-4C6E-A914-A77DC412C83A}" name="Max PROB_OF_YES"/>
    <tableColumn id="8" xr3:uid="{3E6AAD08-6B8D-4638-B070-3D1CCEF9CD42}" name="Mean PROB_OF_YES"/>
    <tableColumn id="9" xr3:uid="{2187E720-1E52-4678-86D9-00B24FF767DD}" name="Median PROB_OF_YES"/>
    <tableColumn id="10" xr3:uid="{C82544C5-ACCD-4B9F-BE37-AE4FD542651E}" name="Std PROB_OF_YES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6C60550-A159-41A6-A887-69AEE9C2D424}" name="Table57" displayName="Table57" ref="M151:V158" totalsRowShown="0" headerRowDxfId="318" headerRowBorderDxfId="317" tableBorderDxfId="316">
  <autoFilter ref="M151:V158" xr:uid="{B6C60550-A159-41A6-A887-69AEE9C2D424}"/>
  <tableColumns count="10">
    <tableColumn id="1" xr3:uid="{2BADBEAF-BFC0-4316-AE97-6BC2F5FFEC91}" name="Bin"/>
    <tableColumn id="2" xr3:uid="{D3733C65-F05F-4E0E-8527-B0C7EEC87BA5}" name="Counts"/>
    <tableColumn id="3" xr3:uid="{32298ED4-28A2-47A3-852F-F559CA788057}" name="Positive Target"/>
    <tableColumn id="4" xr3:uid="{67A6C9D7-BA4E-4AC7-BDC7-DCABD41511AD}" name="Target Rate"/>
    <tableColumn id="5" xr3:uid="{A42F8402-A237-4B11-A209-882010AA798B}" name="Overall_Target PCT"/>
    <tableColumn id="6" xr3:uid="{10EC5A03-3DFB-47F9-B98C-A020643B7DCE}" name="Min PROB_OF_YES"/>
    <tableColumn id="7" xr3:uid="{DDBB883E-3B98-428A-814D-454A2AE202AA}" name="Max PROB_OF_YES"/>
    <tableColumn id="8" xr3:uid="{A1AC4591-FBA1-4423-8A2B-E12A11A88B57}" name="Mean PROB_OF_YES"/>
    <tableColumn id="9" xr3:uid="{CC14E9BE-59D5-4664-A68F-9FC15CEF5914}" name="Median PROB_OF_YES"/>
    <tableColumn id="10" xr3:uid="{43829F56-96A7-47E8-8459-62993512BDF2}" name="Std PROB_OF_YES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DC8C186E-3CAB-4337-9B80-5A5A3DE151E4}" name="Table58" displayName="Table58" ref="Y151:AH158" totalsRowShown="0" headerRowDxfId="315" headerRowBorderDxfId="314" tableBorderDxfId="313">
  <autoFilter ref="Y151:AH158" xr:uid="{DC8C186E-3CAB-4337-9B80-5A5A3DE151E4}"/>
  <tableColumns count="10">
    <tableColumn id="1" xr3:uid="{8E25A811-4828-4B2A-A002-75B81750F3C9}" name="Bin"/>
    <tableColumn id="2" xr3:uid="{DBA7A5CC-7185-4FB7-8DAE-573813516A5E}" name="Counts"/>
    <tableColumn id="3" xr3:uid="{AFEAC961-94BB-41EF-A609-F046234FD581}" name="Positive Target"/>
    <tableColumn id="4" xr3:uid="{5151AEB1-ED52-4A61-A733-754FA21F9A2F}" name="Target Rate"/>
    <tableColumn id="5" xr3:uid="{8B2B5C4D-EEEF-4E08-82FD-FB648EBA2477}" name="Overall_Target PCT"/>
    <tableColumn id="6" xr3:uid="{2A621F17-597F-477E-9CA4-05648E7947BB}" name="Min PROB_OF_YES"/>
    <tableColumn id="7" xr3:uid="{1BB4C2ED-D6D7-4594-8E02-E33BFD40E0DF}" name="Max PROB_OF_YES"/>
    <tableColumn id="8" xr3:uid="{9B436B59-E635-4D84-A0D4-01FAF4ABA060}" name="Mean PROB_OF_YES"/>
    <tableColumn id="9" xr3:uid="{19CFAD2D-A32E-4F0C-AD0A-16231F33B8C8}" name="Median PROB_OF_YES"/>
    <tableColumn id="10" xr3:uid="{D57CC312-5DFC-4FB5-953D-F47D2BA51A6A}" name="Std PROB_OF_YES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D29DF7E-279E-46E4-A9D1-B17AAB58B73A}" name="Table59" displayName="Table59" ref="A162:J169" totalsRowShown="0" headerRowDxfId="312" headerRowBorderDxfId="311" tableBorderDxfId="310">
  <autoFilter ref="A162:J169" xr:uid="{AD29DF7E-279E-46E4-A9D1-B17AAB58B73A}"/>
  <tableColumns count="10">
    <tableColumn id="1" xr3:uid="{D6409A75-FE35-434C-AE0E-DCA71FFCE510}" name="Bin"/>
    <tableColumn id="2" xr3:uid="{214F252C-982A-428F-8700-0644AD450C90}" name="Counts"/>
    <tableColumn id="3" xr3:uid="{F2965608-1070-45AC-9D3E-1C0CC1180D8C}" name="Positive Target"/>
    <tableColumn id="4" xr3:uid="{042AB440-2767-4954-995C-D4268D825D33}" name="Target Rate"/>
    <tableColumn id="5" xr3:uid="{23282F10-C0EE-4B42-AF06-F1493C8F65FB}" name="Overall_Target PCT"/>
    <tableColumn id="6" xr3:uid="{DE527093-1C22-4D24-977D-C8636B2DCC18}" name="Min PROB_OF_YES"/>
    <tableColumn id="7" xr3:uid="{728C170A-8CDA-4B0A-BFBC-4837B84C7967}" name="Max PROB_OF_YES"/>
    <tableColumn id="8" xr3:uid="{8E60496E-DDB1-43AF-B135-9734C97FA86E}" name="Mean PROB_OF_YES"/>
    <tableColumn id="9" xr3:uid="{04654CEF-AFC8-4C5F-94DF-51CF19233E30}" name="Median PROB_OF_YES"/>
    <tableColumn id="10" xr3:uid="{119E8DC7-10B0-427B-AC35-7251656649AE}" name="Std PROB_OF_YES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F53AC7C-DD4F-453E-BC97-7AF6F0417388}" name="Table60" displayName="Table60" ref="M162:V169" totalsRowShown="0" headerRowDxfId="309" headerRowBorderDxfId="308" tableBorderDxfId="307">
  <autoFilter ref="M162:V169" xr:uid="{FF53AC7C-DD4F-453E-BC97-7AF6F0417388}"/>
  <tableColumns count="10">
    <tableColumn id="1" xr3:uid="{77769F27-3BDC-4D36-A3EF-6E79218D5176}" name="Bin"/>
    <tableColumn id="2" xr3:uid="{D40C649A-6197-4214-AE91-53427AADA505}" name="Counts"/>
    <tableColumn id="3" xr3:uid="{EC6A7CD6-C0B8-4B2B-BFAC-736C92590585}" name="Positive Target"/>
    <tableColumn id="4" xr3:uid="{68C931AC-06ED-4793-AFD4-EFCAED7DF734}" name="Target Rate"/>
    <tableColumn id="5" xr3:uid="{06080FE6-0B37-4728-B4B7-52DB0DE1078B}" name="Overall_Target PCT"/>
    <tableColumn id="6" xr3:uid="{2E317D1E-B61E-4A4C-ADF4-37209D1BF4F2}" name="Min PROB_OF_YES"/>
    <tableColumn id="7" xr3:uid="{BE193291-4A21-4211-BF8A-CD0C814C8B43}" name="Max PROB_OF_YES"/>
    <tableColumn id="8" xr3:uid="{95DF162B-3254-43E0-A0AE-4C60F75D7F78}" name="Mean PROB_OF_YES"/>
    <tableColumn id="9" xr3:uid="{0B7AC0D8-E5C3-4004-BD3D-241513141437}" name="Median PROB_OF_YES"/>
    <tableColumn id="10" xr3:uid="{9A9C78A9-2076-40DE-867E-19D92208BEC7}" name="Std PROB_OF_YES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E28888B8-A345-44D2-A52A-9F56A4AAF70C}" name="Table61" displayName="Table61" ref="Y162:AH169" totalsRowShown="0" headerRowDxfId="306" headerRowBorderDxfId="305" tableBorderDxfId="304">
  <autoFilter ref="Y162:AH169" xr:uid="{E28888B8-A345-44D2-A52A-9F56A4AAF70C}"/>
  <tableColumns count="10">
    <tableColumn id="1" xr3:uid="{69D6C5DC-E091-444B-935A-12ED3D026349}" name="Bin"/>
    <tableColumn id="2" xr3:uid="{D74A0814-463D-44FE-9D60-01F9E9AF4509}" name="Counts"/>
    <tableColumn id="3" xr3:uid="{F6A45290-6C44-46CB-985E-8E8CAC6719D6}" name="Positive Target"/>
    <tableColumn id="4" xr3:uid="{EA0B7D2B-EF6D-4593-8C10-7DDD0F8262ED}" name="Target Rate"/>
    <tableColumn id="5" xr3:uid="{F660BDD8-865E-4BFF-A237-A566D374E572}" name="Overall_Target PCT"/>
    <tableColumn id="6" xr3:uid="{B08FAAE4-6D82-4C5A-BA45-A7AE67D0BCF7}" name="Min PROB_OF_YES"/>
    <tableColumn id="7" xr3:uid="{A3CC46BB-A25A-4B41-9E55-90BF312A1ADC}" name="Max PROB_OF_YES"/>
    <tableColumn id="8" xr3:uid="{6A095807-88E5-42A4-95FA-BFC461891332}" name="Mean PROB_OF_YES"/>
    <tableColumn id="9" xr3:uid="{898D564C-CAE5-4990-AD34-67AF8A202BB1}" name="Median PROB_OF_YES"/>
    <tableColumn id="10" xr3:uid="{31E43B33-D9A0-4585-9AC7-51A1961BBCB3}" name="Std PROB_OF_YES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2F071928-034D-4757-B2A6-C2DC616A569E}" name="Table62" displayName="Table62" ref="A173:J180" totalsRowShown="0" headerRowDxfId="303" headerRowBorderDxfId="302" tableBorderDxfId="301">
  <autoFilter ref="A173:J180" xr:uid="{2F071928-034D-4757-B2A6-C2DC616A569E}"/>
  <tableColumns count="10">
    <tableColumn id="1" xr3:uid="{E07279F9-9FDD-445E-AA04-13E433F36AAA}" name="Bin"/>
    <tableColumn id="2" xr3:uid="{14A8A6CD-EC9E-426F-9C9D-F17D3603AD65}" name="Counts"/>
    <tableColumn id="3" xr3:uid="{EAD89C5C-5A23-4080-B636-3E8DB7723BE5}" name="Positive Target"/>
    <tableColumn id="4" xr3:uid="{5C50A220-5E75-48EE-A0D9-5E20EC661744}" name="Target Rate"/>
    <tableColumn id="5" xr3:uid="{C808654D-A916-4074-B817-E0DAD287F527}" name="Overall_Target PCT"/>
    <tableColumn id="6" xr3:uid="{0AE6A57A-3D13-49E9-98FD-C7F3DC13E0D5}" name="Min PROB_OF_YES"/>
    <tableColumn id="7" xr3:uid="{3E7087CA-A134-4F0E-BF07-4D69AD2DA36B}" name="Max PROB_OF_YES"/>
    <tableColumn id="8" xr3:uid="{5C14F8DB-95AA-4475-9FCB-4B9E77801445}" name="Mean PROB_OF_YES"/>
    <tableColumn id="9" xr3:uid="{F3434FD4-0C23-474F-A783-8EC6F0A19706}" name="Median PROB_OF_YES"/>
    <tableColumn id="10" xr3:uid="{AE83CF61-85DC-4BC1-B5AB-3D1144D7BCDE}" name="Std PROB_OF_YES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5F203017-FEA7-4C9D-8397-84BB87F5B461}" name="Table63" displayName="Table63" ref="M173:V180" totalsRowShown="0" headerRowDxfId="300" headerRowBorderDxfId="299" tableBorderDxfId="298">
  <autoFilter ref="M173:V180" xr:uid="{5F203017-FEA7-4C9D-8397-84BB87F5B461}"/>
  <tableColumns count="10">
    <tableColumn id="1" xr3:uid="{84BA6FFE-2387-4CC8-84BA-0B364A6566E8}" name="Bin"/>
    <tableColumn id="2" xr3:uid="{29D2DC0B-2AF1-478D-AEA8-CC1021CFEF8E}" name="Counts"/>
    <tableColumn id="3" xr3:uid="{5FB16FF5-A4FC-4C7F-B136-DE542B594E0F}" name="Positive Target"/>
    <tableColumn id="4" xr3:uid="{C9365FD5-BBB2-41A7-BD8F-90B2B61A376B}" name="Target Rate"/>
    <tableColumn id="5" xr3:uid="{B933987D-E8D9-43B6-9EF7-4ADD9C65D8FF}" name="Overall_Target PCT"/>
    <tableColumn id="6" xr3:uid="{A89D1B9D-C9B8-468A-AFCC-2BAFAD07C850}" name="Min PROB_OF_YES"/>
    <tableColumn id="7" xr3:uid="{9999A5DE-F6B6-4237-A86E-41B7C7AFB3BE}" name="Max PROB_OF_YES"/>
    <tableColumn id="8" xr3:uid="{06FCC880-B236-41DF-9ED6-22A9760381B3}" name="Mean PROB_OF_YES"/>
    <tableColumn id="9" xr3:uid="{A6DC725E-86FD-4128-AB18-F5CA2A4C07AF}" name="Median PROB_OF_YES"/>
    <tableColumn id="10" xr3:uid="{A9153876-EE2F-4D76-8A3C-1ECC66A3B1F7}" name="Std PROB_OF_YES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6ACB7A6-5361-47AE-ACCA-67C327909183}" name="Table64" displayName="Table64" ref="Y173:AH180" totalsRowShown="0" headerRowDxfId="297" headerRowBorderDxfId="296" tableBorderDxfId="295">
  <autoFilter ref="Y173:AH180" xr:uid="{C6ACB7A6-5361-47AE-ACCA-67C327909183}"/>
  <tableColumns count="10">
    <tableColumn id="1" xr3:uid="{ACFD4FEF-BDB1-439B-B6E6-5F7BE099024B}" name="Bin"/>
    <tableColumn id="2" xr3:uid="{ECAAA85B-49D6-448D-87E6-62E048D14D78}" name="Counts"/>
    <tableColumn id="3" xr3:uid="{AE28D817-9E7E-4D8D-ABF7-66FE990A9A7E}" name="Positive Target"/>
    <tableColumn id="4" xr3:uid="{F953F5E1-C482-4217-8C48-C5CF06EAF9B7}" name="Target Rate"/>
    <tableColumn id="5" xr3:uid="{44F3CA5F-CB89-469E-AD0C-5448DA2276EE}" name="Overall_Target PCT"/>
    <tableColumn id="6" xr3:uid="{4192A961-202E-404E-B6A7-A2D91A630AB9}" name="Min PROB_OF_YES"/>
    <tableColumn id="7" xr3:uid="{C7D4AD18-FE2A-46AA-8A33-AA98C0741E13}" name="Max PROB_OF_YES"/>
    <tableColumn id="8" xr3:uid="{8BE25491-45A5-4F55-B594-A048A8AC0EC9}" name="Mean PROB_OF_YES"/>
    <tableColumn id="9" xr3:uid="{CA38ECB4-B606-4D54-B0B1-6316599D0759}" name="Median PROB_OF_YES"/>
    <tableColumn id="10" xr3:uid="{D2228118-7F8B-4C91-8DC2-084EC1F0976A}" name="Std PROB_OF_YES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739023EC-4968-481A-97F2-D1F164D89998}" name="Table65" displayName="Table65" ref="A61:J68" totalsRowShown="0" headerRowDxfId="294" headerRowBorderDxfId="293" tableBorderDxfId="292">
  <autoFilter ref="A61:J68" xr:uid="{739023EC-4968-481A-97F2-D1F164D89998}"/>
  <tableColumns count="10">
    <tableColumn id="1" xr3:uid="{C3DBE7C1-0F6C-4FBD-A1C5-0C9C386551DA}" name="Bin"/>
    <tableColumn id="2" xr3:uid="{D2AC39CF-ED11-474D-93C4-BC782C72AAE3}" name="Counts"/>
    <tableColumn id="3" xr3:uid="{13F7DF58-0B49-4A7F-93DA-E03533E499E3}" name="Positive Target"/>
    <tableColumn id="4" xr3:uid="{E06C55F9-2902-42B7-AC3B-08F261346C92}" name="Target Rate"/>
    <tableColumn id="5" xr3:uid="{0D7467E7-B4CF-4B81-983E-E0EBFDE3C02B}" name="Overall_Target PCT"/>
    <tableColumn id="6" xr3:uid="{D99B9C35-3AF9-4DB9-9EDD-BF844A1867BB}" name="Min PROB_OF_YES"/>
    <tableColumn id="7" xr3:uid="{70EA9445-B07A-4A6E-B122-D23D693FE653}" name="Max PROB_OF_YES"/>
    <tableColumn id="8" xr3:uid="{E232496B-D2D2-429E-B206-131C3D2F7422}" name="Mean PROB_OF_YES"/>
    <tableColumn id="9" xr3:uid="{CFF3E7D6-18F5-4D96-A608-74D55A23354D}" name="Median PROB_OF_YES"/>
    <tableColumn id="10" xr3:uid="{27FD524C-709C-4A5E-972C-9EB4D1203513}" name="Std PROB_OF_YES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AF03C2ED-7A69-419B-A7DC-C659F6F0A52B}" name="Table66" displayName="Table66" ref="A72:J79" totalsRowShown="0" headerRowDxfId="291" headerRowBorderDxfId="290" tableBorderDxfId="289">
  <autoFilter ref="A72:J79" xr:uid="{AF03C2ED-7A69-419B-A7DC-C659F6F0A52B}"/>
  <tableColumns count="10">
    <tableColumn id="1" xr3:uid="{477476A4-181C-4A9F-8AC2-DEEE9FAC4031}" name="Bin"/>
    <tableColumn id="2" xr3:uid="{2D512893-BA06-4608-849A-CC5171CB182C}" name="Counts"/>
    <tableColumn id="3" xr3:uid="{B63C051A-7D5F-403E-8355-F613724B6198}" name="Positive Target"/>
    <tableColumn id="4" xr3:uid="{E02E7959-7CF4-45B2-941E-B6D56E2CAA3E}" name="Target Rate"/>
    <tableColumn id="5" xr3:uid="{CFBFA4A8-F4DB-4178-8440-8BF1E17605DB}" name="Overall_Target PCT"/>
    <tableColumn id="6" xr3:uid="{ED4D2A4A-1B88-4DC4-B4AE-D843AD969227}" name="Min PROB_OF_YES"/>
    <tableColumn id="7" xr3:uid="{0C5EFC99-6F23-4E69-B5FE-10A0FB374F82}" name="Max PROB_OF_YES"/>
    <tableColumn id="8" xr3:uid="{C0FB52A2-C5D8-49BC-ADE7-8B37E532832A}" name="Mean PROB_OF_YES"/>
    <tableColumn id="9" xr3:uid="{AD01A4CA-18FE-4CA7-B389-C0D578D0A928}" name="Median PROB_OF_YES"/>
    <tableColumn id="10" xr3:uid="{6D9BBFE1-65F0-49D6-BFCE-06E528A1ACD0}" name="Std PROB_OF_YES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A3CF0EFF-DE06-4CF6-8023-08C5CD131FD5}" name="Table67" displayName="Table67" ref="A83:J90" totalsRowShown="0" headerRowDxfId="288" headerRowBorderDxfId="287" tableBorderDxfId="286">
  <autoFilter ref="A83:J90" xr:uid="{A3CF0EFF-DE06-4CF6-8023-08C5CD131FD5}"/>
  <tableColumns count="10">
    <tableColumn id="1" xr3:uid="{893E606E-8195-425F-B57F-7910723ED9E2}" name="Bin"/>
    <tableColumn id="2" xr3:uid="{D0BA59AB-3C32-4F28-9530-CC075199DE74}" name="Counts"/>
    <tableColumn id="3" xr3:uid="{213C8B0B-17E6-466B-B94E-EB76340DAA7F}" name="Positive Target"/>
    <tableColumn id="4" xr3:uid="{3C28B87F-2842-4EBD-B818-A967CCD18FEB}" name="Target Rate"/>
    <tableColumn id="5" xr3:uid="{559EDADB-1304-445F-88D7-32AABD5BE826}" name="Overall_Target PCT"/>
    <tableColumn id="6" xr3:uid="{55DCAB8D-CA79-417E-8602-D6A8D4EA6E3B}" name="Min PROB_OF_YES"/>
    <tableColumn id="7" xr3:uid="{DE2EF3F5-6962-4DC7-9FBA-9931CECE74EE}" name="Max PROB_OF_YES"/>
    <tableColumn id="8" xr3:uid="{6FE7EBA8-A608-48AA-ACD5-323BEB9C4020}" name="Mean PROB_OF_YES"/>
    <tableColumn id="9" xr3:uid="{F59D89B4-397C-4FE8-B1D7-7963CC5E0EAE}" name="Median PROB_OF_YES"/>
    <tableColumn id="10" xr3:uid="{61763599-BE74-45B7-854A-2B5FA8098280}" name="Std PROB_OF_YES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CA08D4A-CF83-4098-BD80-4FC9037A25DD}" name="Table68" displayName="Table68" ref="M61:V68" totalsRowShown="0" headerRowDxfId="285" headerRowBorderDxfId="284" tableBorderDxfId="283">
  <autoFilter ref="M61:V68" xr:uid="{0CA08D4A-CF83-4098-BD80-4FC9037A25DD}"/>
  <tableColumns count="10">
    <tableColumn id="1" xr3:uid="{4F38C333-DB37-42EE-B0F6-E821D9D1394E}" name="Bin"/>
    <tableColumn id="2" xr3:uid="{A303E335-0FB0-4E73-AC92-5E9B0BA5917B}" name="Counts"/>
    <tableColumn id="3" xr3:uid="{A91C1BA8-D25E-43B1-8D8D-EA0E545A0CF2}" name="Positive Target"/>
    <tableColumn id="4" xr3:uid="{009FFCCD-F532-4800-9C05-1A193702A0A6}" name="Target Rate"/>
    <tableColumn id="5" xr3:uid="{4743B96C-FD42-4A1E-A4BF-CB4D72BB717B}" name="Overall_Target PCT"/>
    <tableColumn id="6" xr3:uid="{E2D4402D-F682-4B2A-96CD-68DA81D39192}" name="Min PROB_OF_YES"/>
    <tableColumn id="7" xr3:uid="{0FC7208F-4AB2-434A-BDBE-AC54DABC5AC1}" name="Max PROB_OF_YES"/>
    <tableColumn id="8" xr3:uid="{4BDA0723-87EB-40A9-A816-C2F8610580E0}" name="Mean PROB_OF_YES"/>
    <tableColumn id="9" xr3:uid="{790B6D77-B0F3-432A-9E7A-7F399033B943}" name="Median PROB_OF_YES"/>
    <tableColumn id="10" xr3:uid="{01A536C9-5C9E-46DC-A757-EC5952D626C4}" name="Std PROB_OF_YES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DAF0CB0-1699-4378-A528-992DEAC0C12B}" name="Table69" displayName="Table69" ref="M72:V79" totalsRowShown="0" headerRowDxfId="282" headerRowBorderDxfId="281" tableBorderDxfId="280">
  <autoFilter ref="M72:V79" xr:uid="{BDAF0CB0-1699-4378-A528-992DEAC0C12B}"/>
  <tableColumns count="10">
    <tableColumn id="1" xr3:uid="{5253335A-9D3F-46F9-89FC-859A950843CA}" name="Bin"/>
    <tableColumn id="2" xr3:uid="{9FE82EFA-7E1A-4FDA-85E6-71783C8A9354}" name="Counts"/>
    <tableColumn id="3" xr3:uid="{147A2088-D9BC-4EFB-925E-FBA2AEEDEA83}" name="Positive Target"/>
    <tableColumn id="4" xr3:uid="{3E905100-CE84-4794-BFDD-112038BADF54}" name="Target Rate"/>
    <tableColumn id="5" xr3:uid="{741C1562-50AF-41DD-938F-3C31F0B56397}" name="Overall_Target PCT"/>
    <tableColumn id="6" xr3:uid="{14DFCA81-E11D-4BFB-8ED9-0F560F89789F}" name="Min PROB_OF_YES"/>
    <tableColumn id="7" xr3:uid="{063F3765-0B89-4227-8FED-41087BC725B1}" name="Max PROB_OF_YES"/>
    <tableColumn id="8" xr3:uid="{737C7FD9-6205-4FD6-AA7C-3B72E040B8F6}" name="Mean PROB_OF_YES"/>
    <tableColumn id="9" xr3:uid="{66704E8D-D798-42D4-AC89-2BDE78195A5B}" name="Median PROB_OF_YES"/>
    <tableColumn id="10" xr3:uid="{D50DB8CA-DD87-4201-A2CE-76E3DA8E5F6B}" name="Std PROB_OF_YES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484EF57-E151-4B03-968A-06E4CBE8F287}" name="Table70" displayName="Table70" ref="M83:V90" totalsRowShown="0" headerRowDxfId="279" headerRowBorderDxfId="278" tableBorderDxfId="277">
  <autoFilter ref="M83:V90" xr:uid="{9484EF57-E151-4B03-968A-06E4CBE8F287}"/>
  <tableColumns count="10">
    <tableColumn id="1" xr3:uid="{EC68B0CE-050E-4C2F-9A3A-6E77C4CB4CE5}" name="Bin"/>
    <tableColumn id="2" xr3:uid="{A407E935-994E-4011-BCC7-F90809D7AB2A}" name="Counts"/>
    <tableColumn id="3" xr3:uid="{FBD643F8-5283-41AE-BE04-738F58F815C9}" name="Positive Target"/>
    <tableColumn id="4" xr3:uid="{FE6EFBCE-7BC0-421C-AF6F-4CE249F72AE2}" name="Target Rate"/>
    <tableColumn id="5" xr3:uid="{2817AD4B-25DE-4D68-8ABC-BE7B729FBDA4}" name="Overall_Target PCT"/>
    <tableColumn id="6" xr3:uid="{5BFA0782-A024-475D-89DA-BE7A61A995C4}" name="Min PROB_OF_YES"/>
    <tableColumn id="7" xr3:uid="{23DD87A0-7762-4E76-B5D7-83E1C1F739BC}" name="Max PROB_OF_YES"/>
    <tableColumn id="8" xr3:uid="{FD3015DF-6BFE-4D6D-853A-DBFACDCA8D7D}" name="Mean PROB_OF_YES"/>
    <tableColumn id="9" xr3:uid="{359F7E5F-E0DA-4055-8C0B-63948D00A46D}" name="Median PROB_OF_YES"/>
    <tableColumn id="10" xr3:uid="{408CEB44-4BDD-4647-9F4C-E8CE6E72AB8F}" name="Std PROB_OF_YES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371971AE-EF47-4BE4-ACE3-CFDA8FCE8169}" name="Table71" displayName="Table71" ref="Y61:AH68" totalsRowShown="0" headerRowDxfId="276" headerRowBorderDxfId="275" tableBorderDxfId="274">
  <autoFilter ref="Y61:AH68" xr:uid="{371971AE-EF47-4BE4-ACE3-CFDA8FCE8169}"/>
  <tableColumns count="10">
    <tableColumn id="1" xr3:uid="{8654449E-9D37-42AD-8861-418726EF1928}" name="Bin"/>
    <tableColumn id="2" xr3:uid="{38F739C4-10E8-44A5-A095-20162F7CF874}" name="Counts"/>
    <tableColumn id="3" xr3:uid="{554FA58B-9023-41D8-8E20-58257F9DACED}" name="Positive Target"/>
    <tableColumn id="4" xr3:uid="{3D959134-4507-47E4-B7D4-D2ED4A4C06A9}" name="Target Rate"/>
    <tableColumn id="5" xr3:uid="{938913C8-990E-4224-84DA-C249BB056E7C}" name="Overall_Target PCT"/>
    <tableColumn id="6" xr3:uid="{5924B95A-19F5-4031-834E-D290132A3EF4}" name="Min PROB_OF_YES"/>
    <tableColumn id="7" xr3:uid="{FC33B9FE-E355-40C6-9C5D-97AA27166902}" name="Max PROB_OF_YES"/>
    <tableColumn id="8" xr3:uid="{102D61FF-682D-4B5F-96C0-9FCA3FA5B454}" name="Mean PROB_OF_YES"/>
    <tableColumn id="9" xr3:uid="{F2ADFBF2-693C-4E98-AC55-CA1D4735DDE8}" name="Median PROB_OF_YES"/>
    <tableColumn id="10" xr3:uid="{163DD089-C271-4B54-A177-B853D4831174}" name="Std PROB_OF_YES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9DF1CCD-D70D-4C0E-87A3-F7DF889423F3}" name="Table72" displayName="Table72" ref="Y72:AH79" totalsRowShown="0" headerRowDxfId="273" headerRowBorderDxfId="272" tableBorderDxfId="271">
  <autoFilter ref="Y72:AH79" xr:uid="{B9DF1CCD-D70D-4C0E-87A3-F7DF889423F3}"/>
  <tableColumns count="10">
    <tableColumn id="1" xr3:uid="{3E8C2A4D-05AD-42DC-B42A-208362290441}" name="Bin"/>
    <tableColumn id="2" xr3:uid="{997E1D80-4CA5-4CFC-B8BA-ECF25DCE7CC9}" name="Counts"/>
    <tableColumn id="3" xr3:uid="{72E73120-1497-4CC6-B6DB-CB53C4F771BA}" name="Positive Target"/>
    <tableColumn id="4" xr3:uid="{F031FD43-C05B-4BFF-A044-3A4BAE42DC6E}" name="Target Rate"/>
    <tableColumn id="5" xr3:uid="{FB8FBEE3-5D24-4F7B-B3CF-F33089215667}" name="Overall_Target PCT"/>
    <tableColumn id="6" xr3:uid="{5176D549-8149-41D6-A547-1C54C307843E}" name="Min PROB_OF_YES"/>
    <tableColumn id="7" xr3:uid="{0179C73C-9F9B-44E5-814E-35CFD1A96757}" name="Max PROB_OF_YES"/>
    <tableColumn id="8" xr3:uid="{7C270EF7-EFBC-4F0F-9185-BEB899C7C81D}" name="Mean PROB_OF_YES"/>
    <tableColumn id="9" xr3:uid="{3D6D925C-8456-4D34-B98E-7FB605D3E2B9}" name="Median PROB_OF_YES"/>
    <tableColumn id="10" xr3:uid="{652635EE-09FD-49F5-AB40-B69650004FAA}" name="Std PROB_OF_YES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55BCC73B-F17B-41A4-8108-C02F90EB8DAF}" name="Table73" displayName="Table73" ref="Y83:AH90" totalsRowShown="0" headerRowDxfId="270" headerRowBorderDxfId="269" tableBorderDxfId="268">
  <autoFilter ref="Y83:AH90" xr:uid="{55BCC73B-F17B-41A4-8108-C02F90EB8DAF}"/>
  <tableColumns count="10">
    <tableColumn id="1" xr3:uid="{C9D95A37-CD10-4FFA-82C6-BD2986A03CF5}" name="Bin"/>
    <tableColumn id="2" xr3:uid="{753BA310-7FE6-493E-88AF-8AB67B0976B6}" name="Counts"/>
    <tableColumn id="3" xr3:uid="{53A2B631-3BB4-4435-830B-5E8D3A01A6A4}" name="Positive Target"/>
    <tableColumn id="4" xr3:uid="{F7ED0388-825A-44FB-9FED-DD0BFA222EB4}" name="Target Rate"/>
    <tableColumn id="5" xr3:uid="{0F664C9C-8437-4F58-BDBF-B564871BA051}" name="Overall_Target PCT"/>
    <tableColumn id="6" xr3:uid="{AA0F992D-7E86-49D9-AF19-269E497ED4B8}" name="Min PROB_OF_YES"/>
    <tableColumn id="7" xr3:uid="{9F17BD76-25AC-4EE9-A9F7-E171B41E59A5}" name="Max PROB_OF_YES"/>
    <tableColumn id="8" xr3:uid="{6459F298-A00E-424E-9D8C-447CC71E4DC8}" name="Mean PROB_OF_YES"/>
    <tableColumn id="9" xr3:uid="{2B06FA48-7901-4957-8CC2-6BB0DA563E72}" name="Median PROB_OF_YES"/>
    <tableColumn id="10" xr3:uid="{6689DACF-EBEE-4F6E-BDD2-648D213C60E7}" name="Std PROB_OF_YES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4A68585-0A94-4C26-9EDF-6C4B5218BADD}" name="Table4044" displayName="Table4044" ref="N4:X15" totalsRowCount="1" headerRowDxfId="12" headerRowBorderDxfId="11" tableBorderDxfId="10">
  <autoFilter ref="N4:X14" xr:uid="{F4A68585-0A94-4C26-9EDF-6C4B5218BADD}"/>
  <tableColumns count="11">
    <tableColumn id="10" xr3:uid="{B7E9C6BD-46BA-4F31-AACB-FECBD6253B8C}" name="Decile"/>
    <tableColumn id="1" xr3:uid="{0E52FEDD-C841-4F57-B664-A0871D82E968}" name="Counts" totalsRowFunction="custom">
      <totalsRowFormula>SUM(Table4044[Counts])</totalsRowFormula>
    </tableColumn>
    <tableColumn id="2" xr3:uid="{D08764F9-42ED-4797-AEC1-95988834F9E7}" name="Positive Target" totalsRowFunction="custom">
      <totalsRowFormula>SUM(P5:P14)</totalsRowFormula>
    </tableColumn>
    <tableColumn id="3" xr3:uid="{D420059E-AD86-49F8-B413-2691EB6063E7}" name="Target Rate" totalsRowFunction="custom">
      <totalsRowFormula>100*P15/O15</totalsRowFormula>
    </tableColumn>
    <tableColumn id="4" xr3:uid="{9A8DD1C0-CD05-4E9F-B4E4-A81723AA1C96}" name="Overall_Target PCT"/>
    <tableColumn id="5" xr3:uid="{1D3B6FC8-160F-4607-9008-B59F5496D9A4}" name="Min PROB_OF_YES"/>
    <tableColumn id="6" xr3:uid="{AF90E958-7B40-4427-B8A0-C7DABAA5F03F}" name="Max PROB_OF_YES"/>
    <tableColumn id="7" xr3:uid="{D2CBDE4D-16F1-4741-9730-6509CA855C85}" name="Mean PROB_OF_YES"/>
    <tableColumn id="8" xr3:uid="{F962ACD9-9E14-4B17-9476-6028CB3FA98C}" name="Median PROB_OF_YES"/>
    <tableColumn id="9" xr3:uid="{771F61CA-8F83-43B8-8F06-42368E03A75B}" name="Std PROB_OF_YES"/>
    <tableColumn id="11" xr3:uid="{E5FFE6D6-314D-4089-887E-3580CCEB27EA}" name="Lift" dataDxfId="9" totalsRowDxfId="8">
      <calculatedColumnFormula>Table4044[[#This Row],[Target Rate]]/Table4044[[#Totals],[Target Rate]]</calculatedColumnFormula>
    </tableColumn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2DF7A8AF-B264-44AC-97AB-0FD8FCE1CB1F}" name="Table4282" displayName="Table4282" ref="I46:O56" totalsRowShown="0" headerRowDxfId="7" headerRowBorderDxfId="6" tableBorderDxfId="5">
  <autoFilter ref="I46:O56" xr:uid="{2DF7A8AF-B264-44AC-97AB-0FD8FCE1CB1F}"/>
  <tableColumns count="7">
    <tableColumn id="10" xr3:uid="{FF1B4281-736F-4A61-9076-02B3B48FB677}" name="Decile"/>
    <tableColumn id="1" xr3:uid="{5AF38AE4-270C-42EA-BF40-758EF3598798}" name="Counts"/>
    <tableColumn id="2" xr3:uid="{848C58D3-A0F8-4A88-A260-EE0933730868}" name="Positive Target"/>
    <tableColumn id="3" xr3:uid="{7662357E-ADE9-4070-A253-083C92E33023}" name="Target Rate"/>
    <tableColumn id="4" xr3:uid="{A29B4DAD-1ED4-402C-A878-5678C1CBC9BC}" name="Overall_Target PCT"/>
    <tableColumn id="9" xr3:uid="{17D2E637-052D-4C22-AD20-C840E8631C17}" name="Std PROB_OF_YES"/>
    <tableColumn id="11" xr3:uid="{FC6AF465-E9D3-450B-8322-0676A39D4E85}" name="Lift" dataDxfId="4">
      <calculatedColumnFormula>Table4282[[#This Row],[Target Rate]]/'[1]Data Preprocessing'!$I$20</calculatedColumnFormula>
    </tableColumn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2F85DA99-99A5-4DBA-AAF9-682A7B93BEE9}" name="Table84" displayName="Table84" ref="R41:W52" totalsRowCount="1">
  <autoFilter ref="R41:W51" xr:uid="{2F85DA99-99A5-4DBA-AAF9-682A7B93BEE9}"/>
  <tableColumns count="6">
    <tableColumn id="1" xr3:uid="{C6C5095B-5D2D-4BFA-B47F-99B8F030853B}" name="Decile"/>
    <tableColumn id="2" xr3:uid="{98A85D46-B877-4E94-9741-DA3A586ABCA3}" name="Counts" totalsRowFunction="custom">
      <totalsRowFormula>SUM(Table84[Counts])</totalsRowFormula>
    </tableColumn>
    <tableColumn id="3" xr3:uid="{5DD67CED-9717-4EB3-8F68-3984C6503EF6}" name="Positive Target" totalsRowFunction="custom">
      <totalsRowFormula>SUM(Table84[Positive Target])</totalsRowFormula>
    </tableColumn>
    <tableColumn id="4" xr3:uid="{95C95EBE-3FF0-4CF8-BF89-1A3E4A7F082D}" name="Target Rate" totalsRowFunction="custom" dataDxfId="3">
      <totalsRowFormula>Table84[[#Totals],[Positive Target]]/Table84[[#Totals],[Counts]]*100</totalsRowFormula>
    </tableColumn>
    <tableColumn id="5" xr3:uid="{AAD4D022-5716-448F-9C5A-DB7D0C4D61CE}" name="Overall_Target PCT" dataDxfId="2"/>
    <tableColumn id="9" xr3:uid="{4B539666-602B-4C73-944D-62C2F9420BF5}" name="Lift" dataDxfId="1">
      <calculatedColumnFormula>Table84[[#This Row],[Target Rate]]/Table84[[#Totals],[Target Rate]]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13" Type="http://schemas.openxmlformats.org/officeDocument/2006/relationships/table" Target="../tables/table23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12" Type="http://schemas.openxmlformats.org/officeDocument/2006/relationships/table" Target="../tables/table22.xml"/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Relationship Id="rId6" Type="http://schemas.openxmlformats.org/officeDocument/2006/relationships/table" Target="../tables/table16.xml"/><Relationship Id="rId11" Type="http://schemas.openxmlformats.org/officeDocument/2006/relationships/table" Target="../tables/table21.xml"/><Relationship Id="rId5" Type="http://schemas.openxmlformats.org/officeDocument/2006/relationships/table" Target="../tables/table15.xml"/><Relationship Id="rId15" Type="http://schemas.openxmlformats.org/officeDocument/2006/relationships/table" Target="../tables/table25.xml"/><Relationship Id="rId10" Type="http://schemas.openxmlformats.org/officeDocument/2006/relationships/table" Target="../tables/table20.xml"/><Relationship Id="rId4" Type="http://schemas.openxmlformats.org/officeDocument/2006/relationships/table" Target="../tables/table14.xml"/><Relationship Id="rId9" Type="http://schemas.openxmlformats.org/officeDocument/2006/relationships/table" Target="../tables/table19.xml"/><Relationship Id="rId14" Type="http://schemas.openxmlformats.org/officeDocument/2006/relationships/table" Target="../tables/table2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12" Type="http://schemas.openxmlformats.org/officeDocument/2006/relationships/table" Target="../tables/table43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11" Type="http://schemas.openxmlformats.org/officeDocument/2006/relationships/table" Target="../tables/table42.xml"/><Relationship Id="rId5" Type="http://schemas.openxmlformats.org/officeDocument/2006/relationships/table" Target="../tables/table36.xml"/><Relationship Id="rId10" Type="http://schemas.openxmlformats.org/officeDocument/2006/relationships/table" Target="../tables/table41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5.xml"/><Relationship Id="rId18" Type="http://schemas.openxmlformats.org/officeDocument/2006/relationships/table" Target="../tables/table60.xml"/><Relationship Id="rId26" Type="http://schemas.openxmlformats.org/officeDocument/2006/relationships/table" Target="../tables/table68.xml"/><Relationship Id="rId39" Type="http://schemas.openxmlformats.org/officeDocument/2006/relationships/table" Target="../tables/table81.xml"/><Relationship Id="rId21" Type="http://schemas.openxmlformats.org/officeDocument/2006/relationships/table" Target="../tables/table63.xml"/><Relationship Id="rId34" Type="http://schemas.openxmlformats.org/officeDocument/2006/relationships/table" Target="../tables/table76.xml"/><Relationship Id="rId7" Type="http://schemas.openxmlformats.org/officeDocument/2006/relationships/table" Target="../tables/table49.xml"/><Relationship Id="rId12" Type="http://schemas.openxmlformats.org/officeDocument/2006/relationships/table" Target="../tables/table54.xml"/><Relationship Id="rId17" Type="http://schemas.openxmlformats.org/officeDocument/2006/relationships/table" Target="../tables/table59.xml"/><Relationship Id="rId25" Type="http://schemas.openxmlformats.org/officeDocument/2006/relationships/table" Target="../tables/table67.xml"/><Relationship Id="rId33" Type="http://schemas.openxmlformats.org/officeDocument/2006/relationships/table" Target="../tables/table75.xml"/><Relationship Id="rId38" Type="http://schemas.openxmlformats.org/officeDocument/2006/relationships/table" Target="../tables/table80.xml"/><Relationship Id="rId2" Type="http://schemas.openxmlformats.org/officeDocument/2006/relationships/table" Target="../tables/table44.xml"/><Relationship Id="rId16" Type="http://schemas.openxmlformats.org/officeDocument/2006/relationships/table" Target="../tables/table58.xml"/><Relationship Id="rId20" Type="http://schemas.openxmlformats.org/officeDocument/2006/relationships/table" Target="../tables/table62.xml"/><Relationship Id="rId29" Type="http://schemas.openxmlformats.org/officeDocument/2006/relationships/table" Target="../tables/table71.xml"/><Relationship Id="rId1" Type="http://schemas.openxmlformats.org/officeDocument/2006/relationships/drawing" Target="../drawings/drawing2.xml"/><Relationship Id="rId6" Type="http://schemas.openxmlformats.org/officeDocument/2006/relationships/table" Target="../tables/table48.xml"/><Relationship Id="rId11" Type="http://schemas.openxmlformats.org/officeDocument/2006/relationships/table" Target="../tables/table53.xml"/><Relationship Id="rId24" Type="http://schemas.openxmlformats.org/officeDocument/2006/relationships/table" Target="../tables/table66.xml"/><Relationship Id="rId32" Type="http://schemas.openxmlformats.org/officeDocument/2006/relationships/table" Target="../tables/table74.xml"/><Relationship Id="rId37" Type="http://schemas.openxmlformats.org/officeDocument/2006/relationships/table" Target="../tables/table79.xml"/><Relationship Id="rId5" Type="http://schemas.openxmlformats.org/officeDocument/2006/relationships/table" Target="../tables/table47.xml"/><Relationship Id="rId15" Type="http://schemas.openxmlformats.org/officeDocument/2006/relationships/table" Target="../tables/table57.xml"/><Relationship Id="rId23" Type="http://schemas.openxmlformats.org/officeDocument/2006/relationships/table" Target="../tables/table65.xml"/><Relationship Id="rId28" Type="http://schemas.openxmlformats.org/officeDocument/2006/relationships/table" Target="../tables/table70.xml"/><Relationship Id="rId36" Type="http://schemas.openxmlformats.org/officeDocument/2006/relationships/table" Target="../tables/table78.xml"/><Relationship Id="rId10" Type="http://schemas.openxmlformats.org/officeDocument/2006/relationships/table" Target="../tables/table52.xml"/><Relationship Id="rId19" Type="http://schemas.openxmlformats.org/officeDocument/2006/relationships/table" Target="../tables/table61.xml"/><Relationship Id="rId31" Type="http://schemas.openxmlformats.org/officeDocument/2006/relationships/table" Target="../tables/table73.xml"/><Relationship Id="rId4" Type="http://schemas.openxmlformats.org/officeDocument/2006/relationships/table" Target="../tables/table46.xml"/><Relationship Id="rId9" Type="http://schemas.openxmlformats.org/officeDocument/2006/relationships/table" Target="../tables/table51.xml"/><Relationship Id="rId14" Type="http://schemas.openxmlformats.org/officeDocument/2006/relationships/table" Target="../tables/table56.xml"/><Relationship Id="rId22" Type="http://schemas.openxmlformats.org/officeDocument/2006/relationships/table" Target="../tables/table64.xml"/><Relationship Id="rId27" Type="http://schemas.openxmlformats.org/officeDocument/2006/relationships/table" Target="../tables/table69.xml"/><Relationship Id="rId30" Type="http://schemas.openxmlformats.org/officeDocument/2006/relationships/table" Target="../tables/table72.xml"/><Relationship Id="rId35" Type="http://schemas.openxmlformats.org/officeDocument/2006/relationships/table" Target="../tables/table77.xml"/><Relationship Id="rId8" Type="http://schemas.openxmlformats.org/officeDocument/2006/relationships/table" Target="../tables/table50.xml"/><Relationship Id="rId3" Type="http://schemas.openxmlformats.org/officeDocument/2006/relationships/table" Target="../tables/table4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table" Target="../tables/table8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6718-5FF8-4FE1-AF6F-96476327A33C}">
  <dimension ref="A1:Q87"/>
  <sheetViews>
    <sheetView zoomScale="96" workbookViewId="0">
      <selection activeCell="C15" sqref="C15"/>
    </sheetView>
  </sheetViews>
  <sheetFormatPr defaultRowHeight="14.5" x14ac:dyDescent="0.35"/>
  <cols>
    <col min="1" max="1" width="11.26953125" customWidth="1"/>
    <col min="2" max="2" width="14.81640625" customWidth="1"/>
    <col min="3" max="3" width="16" customWidth="1"/>
    <col min="4" max="4" width="18.26953125" customWidth="1"/>
    <col min="5" max="5" width="20.54296875" customWidth="1"/>
    <col min="6" max="6" width="19.26953125" customWidth="1"/>
    <col min="7" max="7" width="20.81640625" customWidth="1"/>
    <col min="8" max="8" width="19.81640625" customWidth="1"/>
    <col min="9" max="9" width="15.81640625" customWidth="1"/>
    <col min="10" max="10" width="6.81640625" bestFit="1" customWidth="1"/>
    <col min="11" max="11" width="13.1796875" bestFit="1" customWidth="1"/>
    <col min="12" max="12" width="10.1796875" bestFit="1" customWidth="1"/>
    <col min="13" max="13" width="16.54296875" bestFit="1" customWidth="1"/>
  </cols>
  <sheetData>
    <row r="1" spans="1:10" x14ac:dyDescent="0.35">
      <c r="A1" s="6" t="s">
        <v>0</v>
      </c>
      <c r="B1" s="6"/>
    </row>
    <row r="2" spans="1:10" x14ac:dyDescent="0.35">
      <c r="A2" s="6" t="s">
        <v>1</v>
      </c>
    </row>
    <row r="3" spans="1:10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35">
      <c r="A4">
        <v>0</v>
      </c>
      <c r="B4">
        <v>83371</v>
      </c>
      <c r="C4">
        <v>4155</v>
      </c>
      <c r="D4">
        <v>4.9837470000000001</v>
      </c>
      <c r="E4">
        <v>22.374797999999998</v>
      </c>
      <c r="F4">
        <v>0.13508300000000001</v>
      </c>
      <c r="G4">
        <v>0.90618399999999999</v>
      </c>
      <c r="H4">
        <v>0.202907</v>
      </c>
      <c r="I4">
        <v>0.17821200000000001</v>
      </c>
      <c r="J4">
        <v>7.6619000000000007E-2</v>
      </c>
    </row>
    <row r="5" spans="1:10" x14ac:dyDescent="0.35">
      <c r="A5">
        <v>1</v>
      </c>
      <c r="B5">
        <v>83371</v>
      </c>
      <c r="C5">
        <v>2553</v>
      </c>
      <c r="D5">
        <v>3.0622159999999998</v>
      </c>
      <c r="E5">
        <v>13.747980999999999</v>
      </c>
      <c r="F5">
        <v>9.0398000000000006E-2</v>
      </c>
      <c r="G5">
        <v>0.13508300000000001</v>
      </c>
      <c r="H5">
        <v>0.110385</v>
      </c>
      <c r="I5">
        <v>0.109123</v>
      </c>
      <c r="J5">
        <v>1.2725999999999999E-2</v>
      </c>
    </row>
    <row r="6" spans="1:10" x14ac:dyDescent="0.35">
      <c r="A6">
        <v>2</v>
      </c>
      <c r="B6">
        <v>83371</v>
      </c>
      <c r="C6">
        <v>2122</v>
      </c>
      <c r="D6">
        <v>2.5452499999999998</v>
      </c>
      <c r="E6">
        <v>11.427033</v>
      </c>
      <c r="F6">
        <v>6.4529000000000003E-2</v>
      </c>
      <c r="G6">
        <v>9.0398000000000006E-2</v>
      </c>
      <c r="H6">
        <v>7.6441999999999996E-2</v>
      </c>
      <c r="I6">
        <v>7.5849E-2</v>
      </c>
      <c r="J6">
        <v>7.424E-3</v>
      </c>
    </row>
    <row r="7" spans="1:10" x14ac:dyDescent="0.35">
      <c r="A7">
        <v>3</v>
      </c>
      <c r="B7">
        <v>83371</v>
      </c>
      <c r="C7">
        <v>2054</v>
      </c>
      <c r="D7">
        <v>2.463686</v>
      </c>
      <c r="E7">
        <v>11.060851</v>
      </c>
      <c r="F7">
        <v>4.6039999999999998E-2</v>
      </c>
      <c r="G7">
        <v>6.4529000000000003E-2</v>
      </c>
      <c r="H7">
        <v>5.4834000000000001E-2</v>
      </c>
      <c r="I7">
        <v>5.4621000000000003E-2</v>
      </c>
      <c r="J7">
        <v>5.359E-3</v>
      </c>
    </row>
    <row r="8" spans="1:10" x14ac:dyDescent="0.35">
      <c r="A8">
        <v>4</v>
      </c>
      <c r="B8">
        <v>83370</v>
      </c>
      <c r="C8">
        <v>1953</v>
      </c>
      <c r="D8">
        <v>2.3425690000000001</v>
      </c>
      <c r="E8">
        <v>10.516963000000001</v>
      </c>
      <c r="F8">
        <v>3.1870000000000002E-2</v>
      </c>
      <c r="G8">
        <v>4.6038999999999997E-2</v>
      </c>
      <c r="H8">
        <v>3.8599000000000001E-2</v>
      </c>
      <c r="I8">
        <v>3.8436999999999999E-2</v>
      </c>
      <c r="J8">
        <v>4.0699999999999998E-3</v>
      </c>
    </row>
    <row r="9" spans="1:10" x14ac:dyDescent="0.35">
      <c r="A9">
        <v>5</v>
      </c>
      <c r="B9">
        <v>83370</v>
      </c>
      <c r="C9">
        <v>1764</v>
      </c>
      <c r="D9">
        <v>2.115869</v>
      </c>
      <c r="E9">
        <v>9.4991920000000007</v>
      </c>
      <c r="F9">
        <v>2.0924999999999999E-2</v>
      </c>
      <c r="G9">
        <v>3.1870000000000002E-2</v>
      </c>
      <c r="H9">
        <v>2.6206E-2</v>
      </c>
      <c r="I9">
        <v>2.6110999999999999E-2</v>
      </c>
      <c r="J9">
        <v>3.1610000000000002E-3</v>
      </c>
    </row>
    <row r="10" spans="1:10" x14ac:dyDescent="0.35">
      <c r="A10">
        <v>6</v>
      </c>
      <c r="B10">
        <v>83370</v>
      </c>
      <c r="C10">
        <v>1670</v>
      </c>
      <c r="D10">
        <v>2.0031189999999999</v>
      </c>
      <c r="E10">
        <v>8.9929989999999993</v>
      </c>
      <c r="F10">
        <v>1.2062E-2</v>
      </c>
      <c r="G10">
        <v>2.0924999999999999E-2</v>
      </c>
      <c r="H10">
        <v>1.6239E-2</v>
      </c>
      <c r="I10">
        <v>1.6109999999999999E-2</v>
      </c>
      <c r="J10">
        <v>2.5699999999999998E-3</v>
      </c>
    </row>
    <row r="11" spans="1:10" x14ac:dyDescent="0.35">
      <c r="A11">
        <v>7</v>
      </c>
      <c r="B11">
        <v>83370</v>
      </c>
      <c r="C11">
        <v>703</v>
      </c>
      <c r="D11">
        <v>0.84322900000000001</v>
      </c>
      <c r="E11">
        <v>3.785676</v>
      </c>
      <c r="F11">
        <v>8.7690000000000008E-3</v>
      </c>
      <c r="G11">
        <v>1.2061000000000001E-2</v>
      </c>
      <c r="H11">
        <v>1.022E-2</v>
      </c>
      <c r="I11">
        <v>1.0141000000000001E-2</v>
      </c>
      <c r="J11">
        <v>1.0189999999999999E-3</v>
      </c>
    </row>
    <row r="12" spans="1:10" x14ac:dyDescent="0.35">
      <c r="A12">
        <v>8</v>
      </c>
      <c r="B12">
        <v>83370</v>
      </c>
      <c r="C12">
        <v>774</v>
      </c>
      <c r="D12">
        <v>0.928392</v>
      </c>
      <c r="E12">
        <v>4.1680130000000002</v>
      </c>
      <c r="F12">
        <v>5.1029999999999999E-3</v>
      </c>
      <c r="G12">
        <v>8.7690000000000008E-3</v>
      </c>
      <c r="H12">
        <v>6.966E-3</v>
      </c>
      <c r="I12">
        <v>6.9899999999999997E-3</v>
      </c>
      <c r="J12">
        <v>1.1659999999999999E-3</v>
      </c>
    </row>
    <row r="13" spans="1:10" x14ac:dyDescent="0.35">
      <c r="A13">
        <v>9</v>
      </c>
      <c r="B13">
        <v>83370</v>
      </c>
      <c r="C13">
        <v>822</v>
      </c>
      <c r="D13">
        <v>0.98596600000000001</v>
      </c>
      <c r="E13">
        <v>4.4264939999999999</v>
      </c>
      <c r="F13">
        <v>0</v>
      </c>
      <c r="G13">
        <v>5.1029999999999999E-3</v>
      </c>
      <c r="H13">
        <v>3.2109999999999999E-3</v>
      </c>
      <c r="I13">
        <v>3.29E-3</v>
      </c>
      <c r="J13">
        <v>1.335E-3</v>
      </c>
    </row>
    <row r="16" spans="1:10" x14ac:dyDescent="0.35">
      <c r="A16" s="6" t="s">
        <v>12</v>
      </c>
    </row>
    <row r="17" spans="1:17" x14ac:dyDescent="0.35">
      <c r="A17" t="s">
        <v>2</v>
      </c>
      <c r="B17" t="s">
        <v>3</v>
      </c>
      <c r="C17" t="s">
        <v>4</v>
      </c>
      <c r="D17" t="s">
        <v>5</v>
      </c>
      <c r="E17" t="s">
        <v>6</v>
      </c>
      <c r="F17" t="s">
        <v>13</v>
      </c>
      <c r="G17" t="s">
        <v>8</v>
      </c>
      <c r="H17" t="s">
        <v>9</v>
      </c>
      <c r="I17" t="s">
        <v>11</v>
      </c>
      <c r="J17" t="s">
        <v>54</v>
      </c>
      <c r="L17" t="s">
        <v>2</v>
      </c>
      <c r="M17" t="s">
        <v>3</v>
      </c>
      <c r="N17" t="s">
        <v>4</v>
      </c>
      <c r="O17" t="s">
        <v>5</v>
      </c>
      <c r="P17" t="s">
        <v>6</v>
      </c>
      <c r="Q17" t="s">
        <v>54</v>
      </c>
    </row>
    <row r="18" spans="1:17" x14ac:dyDescent="0.35">
      <c r="A18">
        <v>1</v>
      </c>
      <c r="B18">
        <v>17784</v>
      </c>
      <c r="C18">
        <v>703</v>
      </c>
      <c r="D18">
        <v>3.9529909999999999</v>
      </c>
      <c r="E18">
        <v>8.9828779999999995</v>
      </c>
      <c r="F18">
        <v>0.76731499999999997</v>
      </c>
      <c r="G18">
        <v>1.0453840000000001</v>
      </c>
      <c r="H18">
        <v>0.84066099999999999</v>
      </c>
      <c r="I18">
        <v>5.3934000000000003E-2</v>
      </c>
      <c r="J18">
        <f>Table9[[#This Row],[Target Rate]]/Table9[[#Totals],[Target Rate]]</f>
        <v>1.8023992301341683</v>
      </c>
      <c r="L18">
        <v>1</v>
      </c>
      <c r="M18">
        <f>Table9[[#This Row],[Counts]]+B19</f>
        <v>35810</v>
      </c>
      <c r="N18">
        <v>1248</v>
      </c>
      <c r="O18">
        <f>Table986[[#This Row],[Positive Target]]/Table986[[#This Row],[Counts]]*100</f>
        <v>3.4850600390952247</v>
      </c>
      <c r="P18">
        <f>Table986[[#This Row],[Positive Target]]/Table9[[#Totals],[Positive Target]]*100</f>
        <v>15.946843853820598</v>
      </c>
      <c r="Q18">
        <f>Table986[[#This Row],[Target Rate]]/Table9[[#Totals],[Target Rate]]</f>
        <v>1.5890422041023082</v>
      </c>
    </row>
    <row r="19" spans="1:17" x14ac:dyDescent="0.35">
      <c r="A19">
        <v>2</v>
      </c>
      <c r="B19">
        <v>18026</v>
      </c>
      <c r="C19">
        <v>545</v>
      </c>
      <c r="D19">
        <v>3.0234109999999998</v>
      </c>
      <c r="E19">
        <v>6.9639660000000001</v>
      </c>
      <c r="F19">
        <v>0.68251899999999999</v>
      </c>
      <c r="G19">
        <v>0.76729099999999995</v>
      </c>
      <c r="H19">
        <v>0.72159600000000002</v>
      </c>
      <c r="I19">
        <v>2.4331999999999999E-2</v>
      </c>
      <c r="J19">
        <f>Table9[[#This Row],[Target Rate]]/Table9[[#Totals],[Target Rate]]</f>
        <v>1.3785494727357526</v>
      </c>
      <c r="L19">
        <v>2</v>
      </c>
      <c r="M19">
        <f>B20+B21</f>
        <v>35881</v>
      </c>
      <c r="N19">
        <v>994</v>
      </c>
      <c r="O19">
        <f>Table986[[#This Row],[Positive Target]]/Table986[[#This Row],[Counts]]*100</f>
        <v>2.7702683871686964</v>
      </c>
      <c r="P19">
        <f>Table986[[#This Row],[Positive Target]]/Table9[[#Totals],[Positive Target]]*100</f>
        <v>12.701252236135957</v>
      </c>
      <c r="Q19">
        <f>Table986[[#This Row],[Target Rate]]/Table9[[#Totals],[Target Rate]]</f>
        <v>1.2631269861980161</v>
      </c>
    </row>
    <row r="20" spans="1:17" x14ac:dyDescent="0.35">
      <c r="A20">
        <v>3</v>
      </c>
      <c r="B20">
        <v>17951</v>
      </c>
      <c r="C20">
        <v>503</v>
      </c>
      <c r="D20">
        <v>2.8020719999999999</v>
      </c>
      <c r="E20">
        <v>6.4272939999999998</v>
      </c>
      <c r="F20">
        <v>0.61654900000000001</v>
      </c>
      <c r="G20">
        <v>0.68250900000000003</v>
      </c>
      <c r="H20">
        <v>0.64882700000000004</v>
      </c>
      <c r="I20">
        <v>1.9050000000000001E-2</v>
      </c>
      <c r="J20">
        <f>Table9[[#This Row],[Target Rate]]/Table9[[#Totals],[Target Rate]]</f>
        <v>1.2776281088372092</v>
      </c>
      <c r="L20">
        <v>3</v>
      </c>
      <c r="M20">
        <f>B22+B23</f>
        <v>35569</v>
      </c>
      <c r="N20">
        <v>884</v>
      </c>
      <c r="O20">
        <f>Table986[[#This Row],[Positive Target]]/Table986[[#This Row],[Counts]]*100</f>
        <v>2.4853102420647191</v>
      </c>
      <c r="P20">
        <f>Table986[[#This Row],[Positive Target]]/Table9[[#Totals],[Positive Target]]*100</f>
        <v>11.295681063122924</v>
      </c>
      <c r="Q20">
        <f>Table986[[#This Row],[Target Rate]]/Table9[[#Totals],[Target Rate]]</f>
        <v>1.1331979422523384</v>
      </c>
    </row>
    <row r="21" spans="1:17" x14ac:dyDescent="0.35">
      <c r="A21">
        <v>4</v>
      </c>
      <c r="B21">
        <v>17930</v>
      </c>
      <c r="C21">
        <v>491</v>
      </c>
      <c r="D21">
        <v>2.7384270000000002</v>
      </c>
      <c r="E21">
        <v>6.2739589999999996</v>
      </c>
      <c r="F21">
        <v>0.55666499999999997</v>
      </c>
      <c r="G21">
        <v>0.61654299999999995</v>
      </c>
      <c r="H21">
        <v>0.58619600000000005</v>
      </c>
      <c r="I21">
        <v>1.7066000000000001E-2</v>
      </c>
      <c r="J21">
        <f>Table9[[#This Row],[Target Rate]]/Table9[[#Totals],[Target Rate]]</f>
        <v>1.2486086400345004</v>
      </c>
      <c r="L21">
        <v>4</v>
      </c>
      <c r="M21">
        <f>B24+B25</f>
        <v>35814</v>
      </c>
      <c r="N21">
        <v>870</v>
      </c>
      <c r="O21">
        <f>Table986[[#This Row],[Positive Target]]/Table986[[#This Row],[Counts]]*100</f>
        <v>2.4292176243926957</v>
      </c>
      <c r="P21">
        <f>Table986[[#This Row],[Positive Target]]/Table9[[#Totals],[Positive Target]]*100</f>
        <v>11.11679018655763</v>
      </c>
      <c r="Q21">
        <f>Table986[[#This Row],[Target Rate]]/Table9[[#Totals],[Target Rate]]</f>
        <v>1.1076220451890095</v>
      </c>
    </row>
    <row r="22" spans="1:17" x14ac:dyDescent="0.35">
      <c r="A22">
        <v>5</v>
      </c>
      <c r="B22">
        <v>18016</v>
      </c>
      <c r="C22">
        <v>456</v>
      </c>
      <c r="D22">
        <v>2.5310830000000002</v>
      </c>
      <c r="E22">
        <v>5.8267309999999997</v>
      </c>
      <c r="F22">
        <v>0.49890899999999999</v>
      </c>
      <c r="G22">
        <v>0.55665799999999999</v>
      </c>
      <c r="H22">
        <v>0.52727299999999999</v>
      </c>
      <c r="I22">
        <v>1.6563000000000001E-2</v>
      </c>
      <c r="J22">
        <f>Table9[[#This Row],[Target Rate]]/Table9[[#Totals],[Target Rate]]</f>
        <v>1.1540684131599797</v>
      </c>
      <c r="L22">
        <v>5</v>
      </c>
      <c r="M22">
        <f>B26+B27</f>
        <v>35839</v>
      </c>
      <c r="N22">
        <v>874</v>
      </c>
      <c r="O22">
        <f>Table986[[#This Row],[Positive Target]]/Table986[[#This Row],[Counts]]*100</f>
        <v>2.438684115070175</v>
      </c>
      <c r="P22">
        <f>Table986[[#This Row],[Positive Target]]/Table9[[#Totals],[Positive Target]]*100</f>
        <v>11.167901865576283</v>
      </c>
      <c r="Q22">
        <f>Table986[[#This Row],[Target Rate]]/Table9[[#Totals],[Target Rate]]</f>
        <v>1.1119383706016301</v>
      </c>
    </row>
    <row r="23" spans="1:17" x14ac:dyDescent="0.35">
      <c r="A23">
        <v>6</v>
      </c>
      <c r="B23">
        <v>17553</v>
      </c>
      <c r="C23">
        <v>428</v>
      </c>
      <c r="D23">
        <v>2.4383300000000001</v>
      </c>
      <c r="E23">
        <v>5.4689500000000004</v>
      </c>
      <c r="F23">
        <v>0.44725100000000001</v>
      </c>
      <c r="G23">
        <v>0.49889699999999998</v>
      </c>
      <c r="H23">
        <v>0.47306199999999998</v>
      </c>
      <c r="I23">
        <v>1.4872E-2</v>
      </c>
      <c r="J23">
        <f>Table9[[#This Row],[Target Rate]]/Table9[[#Totals],[Target Rate]]</f>
        <v>1.1117769088806544</v>
      </c>
      <c r="L23">
        <v>6</v>
      </c>
      <c r="M23">
        <f>B28+B29</f>
        <v>35399</v>
      </c>
      <c r="N23">
        <v>814</v>
      </c>
      <c r="O23">
        <f>Table986[[#This Row],[Positive Target]]/Table986[[#This Row],[Counts]]*100</f>
        <v>2.2994999858753071</v>
      </c>
      <c r="P23">
        <f>Table986[[#This Row],[Positive Target]]/Table9[[#Totals],[Positive Target]]*100</f>
        <v>10.401226680296448</v>
      </c>
      <c r="Q23">
        <f>Table986[[#This Row],[Target Rate]]/Table9[[#Totals],[Target Rate]]</f>
        <v>1.0484762055454173</v>
      </c>
    </row>
    <row r="24" spans="1:17" x14ac:dyDescent="0.35">
      <c r="A24">
        <v>7</v>
      </c>
      <c r="B24">
        <v>18100</v>
      </c>
      <c r="C24">
        <v>466</v>
      </c>
      <c r="D24">
        <v>2.574586</v>
      </c>
      <c r="E24">
        <v>5.9545110000000001</v>
      </c>
      <c r="F24">
        <v>0.399233</v>
      </c>
      <c r="G24">
        <v>0.44724399999999997</v>
      </c>
      <c r="H24">
        <v>0.42280699999999999</v>
      </c>
      <c r="I24">
        <v>1.3821E-2</v>
      </c>
      <c r="J24">
        <f>Table9[[#This Row],[Target Rate]]/Table9[[#Totals],[Target Rate]]</f>
        <v>1.1739039689982111</v>
      </c>
      <c r="L24">
        <v>7</v>
      </c>
      <c r="M24">
        <f>B30+B31</f>
        <v>36302</v>
      </c>
      <c r="N24">
        <v>570</v>
      </c>
      <c r="O24">
        <f>Table986[[#This Row],[Positive Target]]/Table986[[#This Row],[Counts]]*100</f>
        <v>1.5701614236130239</v>
      </c>
      <c r="P24">
        <f>Table986[[#This Row],[Positive Target]]/Table9[[#Totals],[Positive Target]]*100</f>
        <v>7.2834142601584464</v>
      </c>
      <c r="Q24">
        <f>Table986[[#This Row],[Target Rate]]/Table9[[#Totals],[Target Rate]]</f>
        <v>0.7159282024943856</v>
      </c>
    </row>
    <row r="25" spans="1:17" x14ac:dyDescent="0.35">
      <c r="A25">
        <v>8</v>
      </c>
      <c r="B25">
        <v>17714</v>
      </c>
      <c r="C25">
        <v>404</v>
      </c>
      <c r="D25">
        <v>2.2806820000000001</v>
      </c>
      <c r="E25">
        <v>5.16228</v>
      </c>
      <c r="F25">
        <v>0.35259600000000002</v>
      </c>
      <c r="G25">
        <v>0.39921200000000001</v>
      </c>
      <c r="H25">
        <v>0.37581700000000001</v>
      </c>
      <c r="I25">
        <v>1.3445E-2</v>
      </c>
      <c r="J25">
        <f>Table9[[#This Row],[Target Rate]]/Table9[[#Totals],[Target Rate]]</f>
        <v>1.0398959878686431</v>
      </c>
      <c r="L25">
        <v>8</v>
      </c>
      <c r="M25">
        <f>B32+B33</f>
        <v>35238</v>
      </c>
      <c r="N25">
        <v>361</v>
      </c>
      <c r="O25">
        <f>Table986[[#This Row],[Positive Target]]/Table986[[#This Row],[Counts]]*100</f>
        <v>1.0244622282762925</v>
      </c>
      <c r="P25">
        <f>Table986[[#This Row],[Positive Target]]/Table9[[#Totals],[Positive Target]]*100</f>
        <v>4.6128290314336819</v>
      </c>
      <c r="Q25">
        <f>Table986[[#This Row],[Target Rate]]/Table9[[#Totals],[Target Rate]]</f>
        <v>0.46711210107655804</v>
      </c>
    </row>
    <row r="26" spans="1:17" x14ac:dyDescent="0.35">
      <c r="A26">
        <v>9</v>
      </c>
      <c r="B26">
        <v>18033</v>
      </c>
      <c r="C26">
        <v>451</v>
      </c>
      <c r="D26">
        <v>2.5009700000000001</v>
      </c>
      <c r="E26">
        <v>5.762842</v>
      </c>
      <c r="F26">
        <v>0.30790699999999999</v>
      </c>
      <c r="G26">
        <v>0.35259200000000002</v>
      </c>
      <c r="H26">
        <v>0.330432</v>
      </c>
      <c r="I26">
        <v>1.2976E-2</v>
      </c>
      <c r="J26">
        <f>Table9[[#This Row],[Target Rate]]/Table9[[#Totals],[Target Rate]]</f>
        <v>1.1403381395476617</v>
      </c>
      <c r="L26">
        <v>9</v>
      </c>
      <c r="M26">
        <f>B34+B35</f>
        <v>35460</v>
      </c>
      <c r="N26">
        <v>602</v>
      </c>
      <c r="O26">
        <f>Table986[[#This Row],[Positive Target]]/Table986[[#This Row],[Counts]]*100</f>
        <v>1.697687535250987</v>
      </c>
      <c r="P26">
        <f>Table986[[#This Row],[Positive Target]]/Table9[[#Totals],[Positive Target]]*100</f>
        <v>7.6923076923076925</v>
      </c>
      <c r="Q26">
        <f>Table986[[#This Row],[Target Rate]]/Table9[[#Totals],[Target Rate]]</f>
        <v>0.77407479717124394</v>
      </c>
    </row>
    <row r="27" spans="1:17" x14ac:dyDescent="0.35">
      <c r="A27">
        <v>10</v>
      </c>
      <c r="B27">
        <v>17806</v>
      </c>
      <c r="C27">
        <v>423</v>
      </c>
      <c r="D27">
        <v>2.375604</v>
      </c>
      <c r="E27">
        <v>5.4050599999999998</v>
      </c>
      <c r="F27">
        <v>0.26655099999999998</v>
      </c>
      <c r="G27">
        <v>0.30790299999999998</v>
      </c>
      <c r="H27">
        <v>0.28686200000000001</v>
      </c>
      <c r="I27">
        <v>1.1894E-2</v>
      </c>
      <c r="J27">
        <f>Table9[[#This Row],[Target Rate]]/Table9[[#Totals],[Target Rate]]</f>
        <v>1.0831764657960645</v>
      </c>
      <c r="L27">
        <v>10</v>
      </c>
      <c r="M27">
        <f>B36+B37</f>
        <v>35521</v>
      </c>
      <c r="N27">
        <v>609</v>
      </c>
      <c r="O27">
        <f>Table986[[#This Row],[Positive Target]]/Table986[[#This Row],[Counts]]*100</f>
        <v>1.7144787590439459</v>
      </c>
      <c r="P27">
        <f>Table986[[#This Row],[Positive Target]]/Table9[[#Totals],[Positive Target]]*100</f>
        <v>7.7817531305903396</v>
      </c>
      <c r="Q27">
        <f>Table986[[#This Row],[Target Rate]]/Table9[[#Totals],[Target Rate]]</f>
        <v>0.78173089576530586</v>
      </c>
    </row>
    <row r="28" spans="1:17" x14ac:dyDescent="0.35">
      <c r="A28">
        <v>11</v>
      </c>
      <c r="B28">
        <v>17793</v>
      </c>
      <c r="C28">
        <v>418</v>
      </c>
      <c r="D28">
        <v>2.3492380000000002</v>
      </c>
      <c r="E28">
        <v>5.34117</v>
      </c>
      <c r="F28">
        <v>0.227547</v>
      </c>
      <c r="G28">
        <v>0.26654800000000001</v>
      </c>
      <c r="H28">
        <v>0.24668899999999999</v>
      </c>
      <c r="I28">
        <v>1.1227000000000001E-2</v>
      </c>
      <c r="J28">
        <f>Table9[[#This Row],[Target Rate]]/Table9[[#Totals],[Target Rate]]</f>
        <v>1.0711546680986457</v>
      </c>
    </row>
    <row r="29" spans="1:17" x14ac:dyDescent="0.35">
      <c r="A29">
        <v>12</v>
      </c>
      <c r="B29">
        <v>17606</v>
      </c>
      <c r="C29">
        <v>396</v>
      </c>
      <c r="D29">
        <v>2.2492329999999998</v>
      </c>
      <c r="E29">
        <v>5.0600560000000003</v>
      </c>
      <c r="F29">
        <v>0.19086</v>
      </c>
      <c r="G29">
        <v>0.227545</v>
      </c>
      <c r="H29">
        <v>0.20904400000000001</v>
      </c>
      <c r="I29">
        <v>1.0633999999999999E-2</v>
      </c>
      <c r="J29">
        <f>Table9[[#This Row],[Target Rate]]/Table9[[#Totals],[Target Rate]]</f>
        <v>1.0255565539087657</v>
      </c>
    </row>
    <row r="30" spans="1:17" x14ac:dyDescent="0.35">
      <c r="A30">
        <v>13</v>
      </c>
      <c r="B30">
        <v>17746</v>
      </c>
      <c r="C30">
        <v>366</v>
      </c>
      <c r="D30">
        <v>2.0624370000000001</v>
      </c>
      <c r="E30">
        <v>4.6767190000000003</v>
      </c>
      <c r="F30">
        <v>0.159109</v>
      </c>
      <c r="G30">
        <v>0.190857</v>
      </c>
      <c r="H30">
        <v>0.174261</v>
      </c>
      <c r="I30">
        <v>9.1540000000000007E-3</v>
      </c>
      <c r="J30">
        <f>Table9[[#This Row],[Target Rate]]/Table9[[#Totals],[Target Rate]]</f>
        <v>0.94038535908637877</v>
      </c>
    </row>
    <row r="31" spans="1:17" x14ac:dyDescent="0.35">
      <c r="A31">
        <v>14</v>
      </c>
      <c r="B31">
        <v>18556</v>
      </c>
      <c r="C31">
        <v>204</v>
      </c>
      <c r="D31">
        <v>1.099375</v>
      </c>
      <c r="E31">
        <v>2.6066959999999999</v>
      </c>
      <c r="F31">
        <v>0.14200499999999999</v>
      </c>
      <c r="G31">
        <v>0.159105</v>
      </c>
      <c r="H31">
        <v>0.149783</v>
      </c>
      <c r="I31">
        <v>5.1079999999999997E-3</v>
      </c>
      <c r="J31">
        <f>Table9[[#This Row],[Target Rate]]/Table9[[#Totals],[Target Rate]]</f>
        <v>0.5012692044147713</v>
      </c>
    </row>
    <row r="32" spans="1:17" x14ac:dyDescent="0.35">
      <c r="A32">
        <v>15</v>
      </c>
      <c r="B32">
        <v>17187</v>
      </c>
      <c r="C32">
        <v>153</v>
      </c>
      <c r="D32">
        <v>0.890208</v>
      </c>
      <c r="E32">
        <v>1.955022</v>
      </c>
      <c r="F32">
        <v>0.12809899999999999</v>
      </c>
      <c r="G32">
        <v>0.14200299999999999</v>
      </c>
      <c r="H32">
        <v>0.13459099999999999</v>
      </c>
      <c r="I32">
        <v>4.2779999999999997E-3</v>
      </c>
      <c r="J32">
        <f>Table9[[#This Row],[Target Rate]]/Table9[[#Totals],[Target Rate]]</f>
        <v>0.405897765479172</v>
      </c>
    </row>
    <row r="33" spans="1:14" x14ac:dyDescent="0.35">
      <c r="A33">
        <v>16</v>
      </c>
      <c r="B33">
        <v>18051</v>
      </c>
      <c r="C33">
        <v>208</v>
      </c>
      <c r="D33">
        <v>1.152291</v>
      </c>
      <c r="E33">
        <v>2.657807</v>
      </c>
      <c r="F33">
        <v>0.112196</v>
      </c>
      <c r="G33">
        <v>0.12809899999999999</v>
      </c>
      <c r="H33">
        <v>0.119815</v>
      </c>
      <c r="I33">
        <v>4.47E-3</v>
      </c>
      <c r="J33">
        <f>Table9[[#This Row],[Target Rate]]/Table9[[#Totals],[Target Rate]]</f>
        <v>0.52539669614490159</v>
      </c>
    </row>
    <row r="34" spans="1:14" x14ac:dyDescent="0.35">
      <c r="A34">
        <v>17</v>
      </c>
      <c r="B34">
        <v>17572</v>
      </c>
      <c r="C34">
        <v>281</v>
      </c>
      <c r="D34">
        <v>1.599135</v>
      </c>
      <c r="E34">
        <v>3.590595</v>
      </c>
      <c r="F34">
        <v>8.9774000000000007E-2</v>
      </c>
      <c r="G34">
        <v>0.112196</v>
      </c>
      <c r="H34">
        <v>0.10226</v>
      </c>
      <c r="I34">
        <v>6.7070000000000003E-3</v>
      </c>
      <c r="J34">
        <f>Table9[[#This Row],[Target Rate]]/Table9[[#Totals],[Target Rate]]</f>
        <v>0.72913894640301558</v>
      </c>
    </row>
    <row r="35" spans="1:14" x14ac:dyDescent="0.35">
      <c r="A35">
        <v>18</v>
      </c>
      <c r="B35">
        <v>17888</v>
      </c>
      <c r="C35">
        <v>321</v>
      </c>
      <c r="D35">
        <v>1.7944990000000001</v>
      </c>
      <c r="E35">
        <v>4.101712</v>
      </c>
      <c r="F35">
        <v>6.3701999999999995E-2</v>
      </c>
      <c r="G35">
        <v>8.9769000000000002E-2</v>
      </c>
      <c r="H35">
        <v>7.6613000000000001E-2</v>
      </c>
      <c r="I35">
        <v>7.6899999999999998E-3</v>
      </c>
      <c r="J35">
        <f>Table9[[#This Row],[Target Rate]]/Table9[[#Totals],[Target Rate]]</f>
        <v>0.81821679231663691</v>
      </c>
    </row>
    <row r="36" spans="1:14" x14ac:dyDescent="0.35">
      <c r="A36">
        <v>19</v>
      </c>
      <c r="B36">
        <v>17693</v>
      </c>
      <c r="C36">
        <v>226</v>
      </c>
      <c r="D36">
        <v>1.2773410000000001</v>
      </c>
      <c r="E36">
        <v>2.88781</v>
      </c>
      <c r="F36">
        <v>4.1209000000000003E-2</v>
      </c>
      <c r="G36">
        <v>6.3697000000000004E-2</v>
      </c>
      <c r="H36">
        <v>5.2600000000000001E-2</v>
      </c>
      <c r="I36">
        <v>6.0990000000000003E-3</v>
      </c>
      <c r="J36">
        <f>Table9[[#This Row],[Target Rate]]/Table9[[#Totals],[Target Rate]]</f>
        <v>0.58241428705980069</v>
      </c>
    </row>
    <row r="37" spans="1:14" x14ac:dyDescent="0.35">
      <c r="A37">
        <v>20</v>
      </c>
      <c r="B37">
        <v>17828</v>
      </c>
      <c r="C37">
        <v>383</v>
      </c>
      <c r="D37">
        <v>2.1483059999999998</v>
      </c>
      <c r="E37">
        <v>4.8939430000000002</v>
      </c>
      <c r="F37">
        <v>0</v>
      </c>
      <c r="G37">
        <v>4.1202999999999997E-2</v>
      </c>
      <c r="H37">
        <v>2.3425000000000001E-2</v>
      </c>
      <c r="I37">
        <v>1.159E-2</v>
      </c>
      <c r="J37">
        <f>Table9[[#This Row],[Target Rate]]/Table9[[#Totals],[Target Rate]]</f>
        <v>0.9795380461257347</v>
      </c>
    </row>
    <row r="38" spans="1:14" x14ac:dyDescent="0.35">
      <c r="B38">
        <f>SUM(Table9[Counts])</f>
        <v>356833</v>
      </c>
      <c r="C38">
        <f>SUM(Table9[Positive Target])</f>
        <v>7826</v>
      </c>
      <c r="D38">
        <f>Table9[[#Totals],[Positive Target]]/Table9[[#Totals],[Counts]]*100</f>
        <v>2.1931828054019666</v>
      </c>
    </row>
    <row r="40" spans="1:14" x14ac:dyDescent="0.35">
      <c r="A40" t="s">
        <v>94</v>
      </c>
    </row>
    <row r="41" spans="1:14" x14ac:dyDescent="0.35">
      <c r="A41" s="27" t="s">
        <v>3</v>
      </c>
      <c r="B41" s="27" t="s">
        <v>4</v>
      </c>
      <c r="C41" s="27" t="s">
        <v>5</v>
      </c>
      <c r="D41" s="27" t="s">
        <v>6</v>
      </c>
      <c r="E41" s="27" t="s">
        <v>13</v>
      </c>
      <c r="F41" s="27" t="s">
        <v>8</v>
      </c>
      <c r="G41" s="27" t="s">
        <v>9</v>
      </c>
      <c r="H41" s="27" t="s">
        <v>11</v>
      </c>
      <c r="J41" s="29" t="s">
        <v>3</v>
      </c>
      <c r="K41" s="30" t="s">
        <v>4</v>
      </c>
      <c r="L41" s="30" t="s">
        <v>5</v>
      </c>
      <c r="M41" s="30" t="s">
        <v>6</v>
      </c>
      <c r="N41" s="27" t="s">
        <v>54</v>
      </c>
    </row>
    <row r="42" spans="1:14" x14ac:dyDescent="0.35">
      <c r="A42" s="28">
        <v>10026</v>
      </c>
      <c r="B42" s="28">
        <v>396</v>
      </c>
      <c r="C42" s="28">
        <v>3.9497309999999999</v>
      </c>
      <c r="D42" s="28">
        <v>11.820895999999999</v>
      </c>
      <c r="E42" s="28">
        <v>0.76731499999999997</v>
      </c>
      <c r="F42" s="28">
        <v>1.0453840000000001</v>
      </c>
      <c r="G42" s="28">
        <v>0.83543199999999995</v>
      </c>
      <c r="H42" s="28">
        <v>5.1290000000000002E-2</v>
      </c>
      <c r="J42" s="31">
        <v>21064</v>
      </c>
      <c r="K42" s="32">
        <v>715</v>
      </c>
      <c r="L42" s="32">
        <f>K42/J42*100</f>
        <v>3.3944170148120012</v>
      </c>
      <c r="M42" s="32">
        <f>K42/Table86[[#Totals],[Positive Target]]*100</f>
        <v>21.343283582089555</v>
      </c>
      <c r="N42">
        <f>L42/Table86[[#Totals],[Target Rate]]</f>
        <v>1.9220101070794902</v>
      </c>
    </row>
    <row r="43" spans="1:14" x14ac:dyDescent="0.35">
      <c r="A43" s="28">
        <v>11038</v>
      </c>
      <c r="B43" s="28">
        <v>319</v>
      </c>
      <c r="C43" s="28">
        <v>2.8900160000000001</v>
      </c>
      <c r="D43" s="28">
        <v>9.5223879999999994</v>
      </c>
      <c r="E43" s="28">
        <v>0.68251899999999999</v>
      </c>
      <c r="F43" s="28">
        <v>0.76727999999999996</v>
      </c>
      <c r="G43" s="28">
        <v>0.72245000000000004</v>
      </c>
      <c r="H43" s="28">
        <v>2.4149E-2</v>
      </c>
      <c r="J43" s="33">
        <v>21824</v>
      </c>
      <c r="K43" s="34">
        <v>549</v>
      </c>
      <c r="L43" s="32">
        <f t="shared" ref="L43:L51" si="0">K43/J43*100</f>
        <v>2.5155791788856305</v>
      </c>
      <c r="M43" s="32">
        <f>K43/Table86[[#Totals],[Positive Target]]*100</f>
        <v>16.388059701492537</v>
      </c>
      <c r="N43">
        <f>L43/Table86[[#Totals],[Target Rate]]</f>
        <v>1.4243885138092529</v>
      </c>
    </row>
    <row r="44" spans="1:14" x14ac:dyDescent="0.35">
      <c r="A44" s="28">
        <v>10601</v>
      </c>
      <c r="B44" s="28">
        <v>273</v>
      </c>
      <c r="C44" s="28">
        <v>2.5752290000000002</v>
      </c>
      <c r="D44" s="28">
        <v>8.1492540000000009</v>
      </c>
      <c r="E44" s="28">
        <v>0.61655199999999999</v>
      </c>
      <c r="F44" s="28">
        <v>0.68250900000000003</v>
      </c>
      <c r="G44" s="28">
        <v>0.64882799999999996</v>
      </c>
      <c r="H44" s="28">
        <v>1.9123000000000001E-2</v>
      </c>
      <c r="J44" s="31">
        <v>22717</v>
      </c>
      <c r="K44" s="32">
        <v>555</v>
      </c>
      <c r="L44" s="32">
        <f t="shared" si="0"/>
        <v>2.4431042831359777</v>
      </c>
      <c r="M44" s="32">
        <f>K44/Table86[[#Totals],[Positive Target]]*100</f>
        <v>16.567164179104477</v>
      </c>
      <c r="N44">
        <f>L44/Table86[[#Totals],[Target Rate]]</f>
        <v>1.383351280749048</v>
      </c>
    </row>
    <row r="45" spans="1:14" x14ac:dyDescent="0.35">
      <c r="A45" s="28">
        <v>11223</v>
      </c>
      <c r="B45" s="28">
        <v>276</v>
      </c>
      <c r="C45" s="28">
        <v>2.4592350000000001</v>
      </c>
      <c r="D45" s="28">
        <v>8.2388060000000003</v>
      </c>
      <c r="E45" s="28">
        <v>0.55666499999999997</v>
      </c>
      <c r="F45" s="28">
        <v>0.61654299999999995</v>
      </c>
      <c r="G45" s="28">
        <v>0.58626199999999995</v>
      </c>
      <c r="H45" s="28">
        <v>1.7011999999999999E-2</v>
      </c>
      <c r="J45" s="33">
        <v>23542</v>
      </c>
      <c r="K45" s="34">
        <v>539</v>
      </c>
      <c r="L45" s="32">
        <f t="shared" si="0"/>
        <v>2.2895251040693227</v>
      </c>
      <c r="M45" s="32">
        <f>K45/Table86[[#Totals],[Positive Target]]*100</f>
        <v>16.089552238805972</v>
      </c>
      <c r="N45">
        <f>L45/Table86[[#Totals],[Target Rate]]</f>
        <v>1.2963906235537122</v>
      </c>
    </row>
    <row r="46" spans="1:14" x14ac:dyDescent="0.35">
      <c r="A46" s="28">
        <v>11244</v>
      </c>
      <c r="B46" s="28">
        <v>277</v>
      </c>
      <c r="C46" s="28">
        <v>2.4635359999999999</v>
      </c>
      <c r="D46" s="28">
        <v>8.2686569999999993</v>
      </c>
      <c r="E46" s="28">
        <v>0.498915</v>
      </c>
      <c r="F46" s="28">
        <v>0.55665799999999999</v>
      </c>
      <c r="G46" s="28">
        <v>0.52695899999999996</v>
      </c>
      <c r="H46" s="28">
        <v>1.6559000000000001E-2</v>
      </c>
      <c r="J46" s="31">
        <v>24081</v>
      </c>
      <c r="K46" s="32">
        <v>486</v>
      </c>
      <c r="L46" s="32">
        <f t="shared" si="0"/>
        <v>2.0181886134296745</v>
      </c>
      <c r="M46" s="32">
        <f>K46/Table86[[#Totals],[Positive Target]]*100</f>
        <v>14.507462686567163</v>
      </c>
      <c r="N46">
        <f>L46/Table86[[#Totals],[Target Rate]]</f>
        <v>1.1427526129164813</v>
      </c>
    </row>
    <row r="47" spans="1:14" x14ac:dyDescent="0.35">
      <c r="A47" s="28">
        <v>11473</v>
      </c>
      <c r="B47" s="28">
        <v>278</v>
      </c>
      <c r="C47" s="28">
        <v>2.4230800000000001</v>
      </c>
      <c r="D47" s="28">
        <v>8.2985070000000007</v>
      </c>
      <c r="E47" s="28">
        <v>0.44725100000000001</v>
      </c>
      <c r="F47" s="28">
        <v>0.49889699999999998</v>
      </c>
      <c r="G47" s="28">
        <v>0.47281299999999998</v>
      </c>
      <c r="H47" s="28">
        <v>1.4918000000000001E-2</v>
      </c>
      <c r="J47" s="33">
        <v>21457</v>
      </c>
      <c r="K47" s="34">
        <v>292</v>
      </c>
      <c r="L47" s="32">
        <f t="shared" si="0"/>
        <v>1.3608612573985179</v>
      </c>
      <c r="M47" s="32">
        <f>K47/Table86[[#Totals],[Positive Target]]*100</f>
        <v>8.7164179104477615</v>
      </c>
      <c r="N47">
        <f>L47/Table86[[#Totals],[Target Rate]]</f>
        <v>0.77055620439073214</v>
      </c>
    </row>
    <row r="48" spans="1:14" x14ac:dyDescent="0.35">
      <c r="A48" s="28">
        <v>11861</v>
      </c>
      <c r="B48" s="28">
        <v>294</v>
      </c>
      <c r="C48" s="28">
        <v>2.4787119999999998</v>
      </c>
      <c r="D48" s="28">
        <v>8.7761189999999996</v>
      </c>
      <c r="E48" s="28">
        <v>0.399233</v>
      </c>
      <c r="F48" s="28">
        <v>0.44724399999999997</v>
      </c>
      <c r="G48" s="28">
        <v>0.42271999999999998</v>
      </c>
      <c r="H48" s="28">
        <v>1.3993E-2</v>
      </c>
      <c r="J48" s="31">
        <v>19316</v>
      </c>
      <c r="K48" s="32">
        <v>111</v>
      </c>
      <c r="L48" s="32">
        <f t="shared" si="0"/>
        <v>0.57465313729550638</v>
      </c>
      <c r="M48" s="32">
        <f>K48/Table86[[#Totals],[Positive Target]]*100</f>
        <v>3.3134328358208953</v>
      </c>
      <c r="N48">
        <f>L48/Table86[[#Totals],[Target Rate]]</f>
        <v>0.32538404477921018</v>
      </c>
    </row>
    <row r="49" spans="1:14" x14ac:dyDescent="0.35">
      <c r="A49" s="28">
        <v>11681</v>
      </c>
      <c r="B49" s="28">
        <v>245</v>
      </c>
      <c r="C49" s="28">
        <v>2.097423</v>
      </c>
      <c r="D49" s="28">
        <v>7.3134329999999999</v>
      </c>
      <c r="E49" s="28">
        <v>0.35259600000000002</v>
      </c>
      <c r="F49" s="28">
        <v>0.39921099999999998</v>
      </c>
      <c r="G49" s="28">
        <v>0.37559399999999998</v>
      </c>
      <c r="H49" s="28">
        <v>1.3501000000000001E-2</v>
      </c>
      <c r="J49" s="33">
        <v>11228</v>
      </c>
      <c r="K49" s="34">
        <v>36</v>
      </c>
      <c r="L49" s="32">
        <f t="shared" si="0"/>
        <v>0.32062700391877447</v>
      </c>
      <c r="M49" s="32">
        <f>K49/Table86[[#Totals],[Positive Target]]*100</f>
        <v>1.0746268656716418</v>
      </c>
      <c r="N49">
        <f>L49/Table86[[#Totals],[Target Rate]]</f>
        <v>0.18154762347861686</v>
      </c>
    </row>
    <row r="50" spans="1:14" x14ac:dyDescent="0.35">
      <c r="A50" s="28">
        <v>12270</v>
      </c>
      <c r="B50" s="28">
        <v>263</v>
      </c>
      <c r="C50" s="28">
        <v>2.1434389999999999</v>
      </c>
      <c r="D50" s="28">
        <v>7.850746</v>
      </c>
      <c r="E50" s="28">
        <v>0.30790699999999999</v>
      </c>
      <c r="F50" s="28">
        <v>0.35259200000000002</v>
      </c>
      <c r="G50" s="28">
        <v>0.33039600000000002</v>
      </c>
      <c r="H50" s="28">
        <v>1.2959999999999999E-2</v>
      </c>
      <c r="J50" s="31">
        <v>14731</v>
      </c>
      <c r="K50" s="32">
        <v>55</v>
      </c>
      <c r="L50" s="32">
        <f t="shared" si="0"/>
        <v>0.37336229719638853</v>
      </c>
      <c r="M50" s="32">
        <f>K50/Table86[[#Totals],[Positive Target]]*100</f>
        <v>1.6417910447761193</v>
      </c>
      <c r="N50">
        <f>L50/Table86[[#Totals],[Target Rate]]</f>
        <v>0.21140776330147509</v>
      </c>
    </row>
    <row r="51" spans="1:14" x14ac:dyDescent="0.35">
      <c r="A51" s="28">
        <v>11811</v>
      </c>
      <c r="B51" s="28">
        <v>223</v>
      </c>
      <c r="C51" s="28">
        <v>1.8880699999999999</v>
      </c>
      <c r="D51" s="28">
        <v>6.6567160000000003</v>
      </c>
      <c r="E51" s="28">
        <v>0.26655099999999998</v>
      </c>
      <c r="F51" s="28">
        <v>0.30790299999999998</v>
      </c>
      <c r="G51" s="28">
        <v>0.287047</v>
      </c>
      <c r="H51" s="28">
        <v>1.1834000000000001E-2</v>
      </c>
      <c r="J51" s="33">
        <v>9726</v>
      </c>
      <c r="K51" s="34">
        <v>12</v>
      </c>
      <c r="L51" s="32">
        <f t="shared" si="0"/>
        <v>0.12338062924120913</v>
      </c>
      <c r="M51" s="32">
        <f>K51/Table86[[#Totals],[Positive Target]]*100</f>
        <v>0.35820895522388058</v>
      </c>
      <c r="N51">
        <f>L51/Table86[[#Totals],[Target Rate]]</f>
        <v>6.9861426979844751E-2</v>
      </c>
    </row>
    <row r="52" spans="1:14" x14ac:dyDescent="0.35">
      <c r="A52" s="28">
        <v>11263</v>
      </c>
      <c r="B52" s="28">
        <v>168</v>
      </c>
      <c r="C52" s="28">
        <v>1.4916100000000001</v>
      </c>
      <c r="D52" s="28">
        <v>5.0149249999999999</v>
      </c>
      <c r="E52" s="28">
        <v>0.22755300000000001</v>
      </c>
      <c r="F52" s="28">
        <v>0.26654800000000001</v>
      </c>
      <c r="G52" s="28">
        <v>0.246944</v>
      </c>
      <c r="H52" s="28">
        <v>1.1207999999999999E-2</v>
      </c>
    </row>
    <row r="53" spans="1:14" x14ac:dyDescent="0.35">
      <c r="A53" s="28">
        <v>10194</v>
      </c>
      <c r="B53" s="28">
        <v>124</v>
      </c>
      <c r="C53" s="28">
        <v>1.216402</v>
      </c>
      <c r="D53" s="28">
        <v>3.7014930000000001</v>
      </c>
      <c r="E53" s="28">
        <v>0.190862</v>
      </c>
      <c r="F53" s="28">
        <v>0.227544</v>
      </c>
      <c r="G53" s="28">
        <v>0.209531</v>
      </c>
      <c r="H53" s="28">
        <v>1.0518E-2</v>
      </c>
    </row>
    <row r="54" spans="1:14" x14ac:dyDescent="0.35">
      <c r="A54" s="28">
        <v>9448</v>
      </c>
      <c r="B54" s="28">
        <v>78</v>
      </c>
      <c r="C54" s="28">
        <v>0.82557199999999997</v>
      </c>
      <c r="D54" s="28">
        <v>2.3283580000000001</v>
      </c>
      <c r="E54" s="28">
        <v>0.15911500000000001</v>
      </c>
      <c r="F54" s="28">
        <v>0.190857</v>
      </c>
      <c r="G54" s="28">
        <v>0.17400099999999999</v>
      </c>
      <c r="H54" s="28">
        <v>9.2800000000000001E-3</v>
      </c>
    </row>
    <row r="55" spans="1:14" x14ac:dyDescent="0.35">
      <c r="A55" s="28">
        <v>9868</v>
      </c>
      <c r="B55" s="28">
        <v>33</v>
      </c>
      <c r="C55" s="28">
        <v>0.33441399999999999</v>
      </c>
      <c r="D55" s="28">
        <v>0.98507500000000003</v>
      </c>
      <c r="E55" s="28">
        <v>0.14201</v>
      </c>
      <c r="F55" s="28">
        <v>0.159105</v>
      </c>
      <c r="G55" s="28">
        <v>0.15090999999999999</v>
      </c>
      <c r="H55" s="28">
        <v>4.4879999999999998E-3</v>
      </c>
    </row>
    <row r="56" spans="1:14" x14ac:dyDescent="0.35">
      <c r="A56" s="28">
        <v>5710</v>
      </c>
      <c r="B56" s="28">
        <v>17</v>
      </c>
      <c r="C56" s="28">
        <v>0.29772300000000002</v>
      </c>
      <c r="D56" s="28">
        <v>0.507463</v>
      </c>
      <c r="E56" s="28">
        <v>0.128108</v>
      </c>
      <c r="F56" s="28">
        <v>0.14200199999999999</v>
      </c>
      <c r="G56" s="28">
        <v>0.13547400000000001</v>
      </c>
      <c r="H56" s="28">
        <v>3.8419999999999999E-3</v>
      </c>
    </row>
    <row r="57" spans="1:14" x14ac:dyDescent="0.35">
      <c r="A57" s="28">
        <v>5518</v>
      </c>
      <c r="B57" s="28">
        <v>19</v>
      </c>
      <c r="C57" s="28">
        <v>0.34432800000000002</v>
      </c>
      <c r="D57" s="28">
        <v>0.567164</v>
      </c>
      <c r="E57" s="28">
        <v>0.112196</v>
      </c>
      <c r="F57" s="28">
        <v>0.12807199999999999</v>
      </c>
      <c r="G57" s="28">
        <v>0.120378</v>
      </c>
      <c r="H57" s="28">
        <v>4.9950000000000003E-3</v>
      </c>
    </row>
    <row r="58" spans="1:14" x14ac:dyDescent="0.35">
      <c r="A58" s="28">
        <v>8902</v>
      </c>
      <c r="B58" s="28">
        <v>25</v>
      </c>
      <c r="C58" s="28">
        <v>0.28083599999999997</v>
      </c>
      <c r="D58" s="28">
        <v>0.74626899999999996</v>
      </c>
      <c r="E58" s="28">
        <v>8.9785000000000004E-2</v>
      </c>
      <c r="F58" s="28">
        <v>0.112196</v>
      </c>
      <c r="G58" s="28">
        <v>0.10342700000000001</v>
      </c>
      <c r="H58" s="28">
        <v>6.6880000000000004E-3</v>
      </c>
    </row>
    <row r="59" spans="1:14" x14ac:dyDescent="0.35">
      <c r="A59" s="28">
        <v>5829</v>
      </c>
      <c r="B59" s="28">
        <v>30</v>
      </c>
      <c r="C59" s="28">
        <v>0.51466800000000001</v>
      </c>
      <c r="D59" s="28">
        <v>0.89552200000000004</v>
      </c>
      <c r="E59" s="28">
        <v>6.3719999999999999E-2</v>
      </c>
      <c r="F59" s="28">
        <v>8.9769000000000002E-2</v>
      </c>
      <c r="G59" s="28">
        <v>7.6457999999999998E-2</v>
      </c>
      <c r="H59" s="28">
        <v>8.0099999999999998E-3</v>
      </c>
    </row>
    <row r="60" spans="1:14" x14ac:dyDescent="0.35">
      <c r="A60" s="28">
        <v>6161</v>
      </c>
      <c r="B60" s="28">
        <v>10</v>
      </c>
      <c r="C60" s="28">
        <v>0.16231100000000001</v>
      </c>
      <c r="D60" s="28">
        <v>0.29850700000000002</v>
      </c>
      <c r="E60" s="28">
        <v>4.1229000000000002E-2</v>
      </c>
      <c r="F60" s="28">
        <v>6.3695000000000002E-2</v>
      </c>
      <c r="G60" s="28">
        <v>5.2613E-2</v>
      </c>
      <c r="H60" s="28">
        <v>6.2220000000000001E-3</v>
      </c>
    </row>
    <row r="61" spans="1:14" x14ac:dyDescent="0.35">
      <c r="A61" s="28">
        <v>3565</v>
      </c>
      <c r="B61" s="28">
        <v>2</v>
      </c>
      <c r="C61" s="28">
        <v>5.6100999999999998E-2</v>
      </c>
      <c r="D61" s="28">
        <v>5.9700999999999997E-2</v>
      </c>
      <c r="E61" s="28">
        <v>0</v>
      </c>
      <c r="F61" s="28">
        <v>4.1202999999999997E-2</v>
      </c>
      <c r="G61" s="28">
        <v>2.6571000000000001E-2</v>
      </c>
      <c r="H61" s="28">
        <v>9.2929999999999992E-3</v>
      </c>
    </row>
    <row r="62" spans="1:14" x14ac:dyDescent="0.35">
      <c r="A62" s="28">
        <f>SUM(Table86[Counts])</f>
        <v>189686</v>
      </c>
      <c r="B62" s="28">
        <f>SUM(Table86[Positive Target])</f>
        <v>3350</v>
      </c>
      <c r="C62" s="28">
        <f>Table86[[#Totals],[Positive Target]]/Table86[[#Totals],[Counts]]*100</f>
        <v>1.7660765686450239</v>
      </c>
      <c r="D62" s="28"/>
      <c r="E62" s="28"/>
      <c r="F62" s="28"/>
      <c r="G62" s="28"/>
      <c r="H62" s="28"/>
    </row>
    <row r="65" spans="1:14" x14ac:dyDescent="0.35">
      <c r="A65" t="s">
        <v>95</v>
      </c>
    </row>
    <row r="66" spans="1:14" x14ac:dyDescent="0.35">
      <c r="A66" s="27" t="s">
        <v>3</v>
      </c>
      <c r="B66" s="27" t="s">
        <v>4</v>
      </c>
      <c r="C66" s="27" t="s">
        <v>5</v>
      </c>
      <c r="D66" s="27" t="s">
        <v>6</v>
      </c>
      <c r="E66" s="27" t="s">
        <v>13</v>
      </c>
      <c r="F66" s="27" t="s">
        <v>8</v>
      </c>
      <c r="G66" s="27" t="s">
        <v>9</v>
      </c>
      <c r="H66" s="27" t="s">
        <v>11</v>
      </c>
      <c r="J66" s="29" t="s">
        <v>3</v>
      </c>
      <c r="K66" s="30" t="s">
        <v>4</v>
      </c>
      <c r="L66" s="30" t="s">
        <v>5</v>
      </c>
      <c r="M66" s="30" t="s">
        <v>6</v>
      </c>
      <c r="N66" s="27" t="s">
        <v>54</v>
      </c>
    </row>
    <row r="67" spans="1:14" x14ac:dyDescent="0.35">
      <c r="A67" s="28">
        <v>7758</v>
      </c>
      <c r="B67" s="28">
        <v>307</v>
      </c>
      <c r="C67" s="28">
        <v>3.9572050000000001</v>
      </c>
      <c r="D67" s="28">
        <v>10.459966</v>
      </c>
      <c r="E67" s="28">
        <v>0.76732800000000001</v>
      </c>
      <c r="F67" s="28">
        <v>1.022051</v>
      </c>
      <c r="G67" s="28">
        <v>0.847418</v>
      </c>
      <c r="H67" s="28">
        <v>5.6460999999999997E-2</v>
      </c>
      <c r="J67" s="31">
        <v>14746</v>
      </c>
      <c r="K67" s="32">
        <v>533</v>
      </c>
      <c r="L67" s="32">
        <f>K67/J67*100</f>
        <v>3.6145395361453954</v>
      </c>
      <c r="M67" s="32">
        <f>K67/Table87[[#Totals],[Positive Target]]*100</f>
        <v>18.160136286201023</v>
      </c>
      <c r="N67">
        <f>L67/Table87[[#Totals],[Target Rate]]</f>
        <v>1.542318478189795</v>
      </c>
    </row>
    <row r="68" spans="1:14" x14ac:dyDescent="0.35">
      <c r="A68" s="28">
        <v>6988</v>
      </c>
      <c r="B68" s="28">
        <v>226</v>
      </c>
      <c r="C68" s="28">
        <v>3.2341160000000002</v>
      </c>
      <c r="D68" s="28">
        <v>7.70017</v>
      </c>
      <c r="E68" s="28">
        <v>0.68253399999999997</v>
      </c>
      <c r="F68" s="28">
        <v>0.76729099999999995</v>
      </c>
      <c r="G68" s="28">
        <v>0.720248</v>
      </c>
      <c r="H68" s="28">
        <v>2.4559999999999998E-2</v>
      </c>
      <c r="J68" s="33">
        <v>14057</v>
      </c>
      <c r="K68" s="34">
        <v>445</v>
      </c>
      <c r="L68" s="32">
        <f t="shared" ref="L68:L76" si="1">K68/J68*100</f>
        <v>3.1656825780749807</v>
      </c>
      <c r="M68" s="32">
        <f>K68/Table87[[#Totals],[Positive Target]]*100</f>
        <v>15.1618398637138</v>
      </c>
      <c r="N68">
        <f>L68/Table87[[#Totals],[Target Rate]]</f>
        <v>1.350791902377507</v>
      </c>
    </row>
    <row r="69" spans="1:14" x14ac:dyDescent="0.35">
      <c r="A69" s="28">
        <v>7350</v>
      </c>
      <c r="B69" s="28">
        <v>230</v>
      </c>
      <c r="C69" s="28">
        <v>3.1292520000000001</v>
      </c>
      <c r="D69" s="28">
        <v>7.8364570000000002</v>
      </c>
      <c r="E69" s="28">
        <v>0.61654900000000001</v>
      </c>
      <c r="F69" s="28">
        <v>0.68249300000000002</v>
      </c>
      <c r="G69" s="28">
        <v>0.64882399999999996</v>
      </c>
      <c r="H69" s="28">
        <v>1.8946000000000001E-2</v>
      </c>
      <c r="J69" s="31">
        <v>12843</v>
      </c>
      <c r="K69" s="32">
        <v>327</v>
      </c>
      <c r="L69" s="32">
        <f t="shared" si="1"/>
        <v>2.5461340808222377</v>
      </c>
      <c r="M69" s="32">
        <f>K69/Table87[[#Totals],[Positive Target]]*100</f>
        <v>11.141396933560477</v>
      </c>
      <c r="N69">
        <f>L69/Table87[[#Totals],[Target Rate]]</f>
        <v>1.0864315085037608</v>
      </c>
    </row>
    <row r="70" spans="1:14" x14ac:dyDescent="0.35">
      <c r="A70" s="28">
        <v>6707</v>
      </c>
      <c r="B70" s="28">
        <v>215</v>
      </c>
      <c r="C70" s="28">
        <v>3.205606</v>
      </c>
      <c r="D70" s="28">
        <v>7.3253830000000004</v>
      </c>
      <c r="E70" s="28">
        <v>0.55667900000000003</v>
      </c>
      <c r="F70" s="28">
        <v>0.61653800000000003</v>
      </c>
      <c r="G70" s="28">
        <v>0.586086</v>
      </c>
      <c r="H70" s="28">
        <v>1.7156999999999999E-2</v>
      </c>
      <c r="J70" s="33">
        <v>12025</v>
      </c>
      <c r="K70" s="34">
        <v>307</v>
      </c>
      <c r="L70" s="32">
        <f t="shared" si="1"/>
        <v>2.5530145530145529</v>
      </c>
      <c r="M70" s="32">
        <f>K70/Table87[[#Totals],[Positive Target]]*100</f>
        <v>10.459965928449746</v>
      </c>
      <c r="N70">
        <f>L70/Table87[[#Totals],[Target Rate]]</f>
        <v>1.0893673954389458</v>
      </c>
    </row>
    <row r="71" spans="1:14" x14ac:dyDescent="0.35">
      <c r="A71" s="28">
        <v>6772</v>
      </c>
      <c r="B71" s="28">
        <v>179</v>
      </c>
      <c r="C71" s="28">
        <v>2.6432370000000001</v>
      </c>
      <c r="D71" s="28">
        <v>6.0988069999999999</v>
      </c>
      <c r="E71" s="28">
        <v>0.49890899999999999</v>
      </c>
      <c r="F71" s="28">
        <v>0.55665100000000001</v>
      </c>
      <c r="G71" s="28">
        <v>0.52779299999999996</v>
      </c>
      <c r="H71" s="28">
        <v>1.6556999999999999E-2</v>
      </c>
      <c r="J71" s="31">
        <v>10376</v>
      </c>
      <c r="K71" s="32">
        <v>260</v>
      </c>
      <c r="L71" s="32">
        <f t="shared" si="1"/>
        <v>2.5057825751734772</v>
      </c>
      <c r="M71" s="32">
        <f>K71/Table87[[#Totals],[Positive Target]]*100</f>
        <v>8.8586030664395228</v>
      </c>
      <c r="N71">
        <f>L71/Table87[[#Totals],[Target Rate]]</f>
        <v>1.0692135829111606</v>
      </c>
    </row>
    <row r="72" spans="1:14" x14ac:dyDescent="0.35">
      <c r="A72" s="28">
        <v>6071</v>
      </c>
      <c r="B72" s="28">
        <v>148</v>
      </c>
      <c r="C72" s="28">
        <v>2.4378190000000002</v>
      </c>
      <c r="D72" s="28">
        <v>5.0425890000000004</v>
      </c>
      <c r="E72" s="28">
        <v>0.44725700000000002</v>
      </c>
      <c r="F72" s="28">
        <v>0.498892</v>
      </c>
      <c r="G72" s="28">
        <v>0.47354600000000002</v>
      </c>
      <c r="H72" s="28">
        <v>1.4775999999999999E-2</v>
      </c>
      <c r="J72" s="33">
        <v>9618</v>
      </c>
      <c r="K72" s="34">
        <v>261</v>
      </c>
      <c r="L72" s="32">
        <f t="shared" si="1"/>
        <v>2.7136618839675606</v>
      </c>
      <c r="M72" s="32">
        <f>K72/Table87[[#Totals],[Positive Target]]*100</f>
        <v>8.892674616695059</v>
      </c>
      <c r="N72">
        <f>L72/Table87[[#Totals],[Target Rate]]</f>
        <v>1.1579153652489318</v>
      </c>
    </row>
    <row r="73" spans="1:14" x14ac:dyDescent="0.35">
      <c r="A73" s="28">
        <v>6182</v>
      </c>
      <c r="B73" s="28">
        <v>164</v>
      </c>
      <c r="C73" s="28">
        <v>2.652863</v>
      </c>
      <c r="D73" s="28">
        <v>5.5877340000000002</v>
      </c>
      <c r="E73" s="28">
        <v>0.39925899999999998</v>
      </c>
      <c r="F73" s="28">
        <v>0.44723299999999999</v>
      </c>
      <c r="G73" s="28">
        <v>0.42303600000000002</v>
      </c>
      <c r="H73" s="28">
        <v>1.3471E-2</v>
      </c>
      <c r="J73" s="31">
        <v>11415</v>
      </c>
      <c r="K73" s="32">
        <v>197</v>
      </c>
      <c r="L73" s="32">
        <f t="shared" si="1"/>
        <v>1.7257993867717913</v>
      </c>
      <c r="M73" s="32">
        <f>K73/Table87[[#Totals],[Positive Target]]*100</f>
        <v>6.7120954003407158</v>
      </c>
      <c r="N73">
        <f>L73/Table87[[#Totals],[Target Rate]]</f>
        <v>0.73639595230579924</v>
      </c>
    </row>
    <row r="74" spans="1:14" x14ac:dyDescent="0.35">
      <c r="A74" s="28">
        <v>5843</v>
      </c>
      <c r="B74" s="28">
        <v>143</v>
      </c>
      <c r="C74" s="28">
        <v>2.4473729999999998</v>
      </c>
      <c r="D74" s="28">
        <v>4.8722320000000003</v>
      </c>
      <c r="E74" s="28">
        <v>0.35262399999999999</v>
      </c>
      <c r="F74" s="28">
        <v>0.39921200000000001</v>
      </c>
      <c r="G74" s="28">
        <v>0.37635999999999997</v>
      </c>
      <c r="H74" s="28">
        <v>1.3313E-2</v>
      </c>
      <c r="J74" s="33">
        <v>18906</v>
      </c>
      <c r="K74" s="34">
        <v>141</v>
      </c>
      <c r="L74" s="32">
        <f t="shared" si="1"/>
        <v>0.74579498571881941</v>
      </c>
      <c r="M74" s="32">
        <f>K74/Table87[[#Totals],[Positive Target]]*100</f>
        <v>4.8040885860306641</v>
      </c>
      <c r="N74">
        <f>L74/Table87[[#Totals],[Target Rate]]</f>
        <v>0.31822957693861015</v>
      </c>
    </row>
    <row r="75" spans="1:14" x14ac:dyDescent="0.35">
      <c r="A75" s="28">
        <v>5356</v>
      </c>
      <c r="B75" s="28">
        <v>148</v>
      </c>
      <c r="C75" s="28">
        <v>2.7632560000000002</v>
      </c>
      <c r="D75" s="28">
        <v>5.0425890000000004</v>
      </c>
      <c r="E75" s="28">
        <v>0.30795800000000001</v>
      </c>
      <c r="F75" s="28">
        <v>0.35256700000000002</v>
      </c>
      <c r="G75" s="28">
        <v>0.330762</v>
      </c>
      <c r="H75" s="28">
        <v>1.2992E-2</v>
      </c>
      <c r="J75" s="31">
        <v>10723</v>
      </c>
      <c r="K75" s="32">
        <v>222</v>
      </c>
      <c r="L75" s="32">
        <f t="shared" si="1"/>
        <v>2.0703161428704653</v>
      </c>
      <c r="M75" s="32">
        <f>K75/Table87[[#Totals],[Positive Target]]*100</f>
        <v>7.5638841567291308</v>
      </c>
      <c r="N75">
        <f>L75/Table87[[#Totals],[Target Rate]]</f>
        <v>0.88340072391320479</v>
      </c>
    </row>
    <row r="76" spans="1:14" x14ac:dyDescent="0.35">
      <c r="A76" s="28">
        <v>5020</v>
      </c>
      <c r="B76" s="28">
        <v>112</v>
      </c>
      <c r="C76" s="28">
        <v>2.2310759999999998</v>
      </c>
      <c r="D76" s="28">
        <v>3.816014</v>
      </c>
      <c r="E76" s="28">
        <v>0.26656000000000002</v>
      </c>
      <c r="F76" s="28">
        <v>0.30785499999999999</v>
      </c>
      <c r="G76" s="28">
        <v>0.28696300000000002</v>
      </c>
      <c r="H76" s="28">
        <v>1.2029E-2</v>
      </c>
      <c r="J76" s="33">
        <v>10527</v>
      </c>
      <c r="K76" s="34">
        <v>242</v>
      </c>
      <c r="L76" s="32">
        <f t="shared" si="1"/>
        <v>2.2988505747126435</v>
      </c>
      <c r="M76" s="32">
        <f>K76/Table87[[#Totals],[Positive Target]]*100</f>
        <v>8.2453151618398639</v>
      </c>
      <c r="N76">
        <f>L76/Table87[[#Totals],[Target Rate]]</f>
        <v>0.98091601558675523</v>
      </c>
    </row>
    <row r="77" spans="1:14" x14ac:dyDescent="0.35">
      <c r="A77" s="28">
        <v>4840</v>
      </c>
      <c r="B77" s="28">
        <v>132</v>
      </c>
      <c r="C77" s="28">
        <v>2.7272729999999998</v>
      </c>
      <c r="D77" s="28">
        <v>4.4974449999999999</v>
      </c>
      <c r="E77" s="28">
        <v>0.227547</v>
      </c>
      <c r="F77" s="28">
        <v>0.26651900000000001</v>
      </c>
      <c r="G77" s="28">
        <v>0.24657799999999999</v>
      </c>
      <c r="H77" s="28">
        <v>1.132E-2</v>
      </c>
    </row>
    <row r="78" spans="1:14" x14ac:dyDescent="0.35">
      <c r="A78" s="28">
        <v>4778</v>
      </c>
      <c r="B78" s="28">
        <v>129</v>
      </c>
      <c r="C78" s="28">
        <v>2.6998739999999999</v>
      </c>
      <c r="D78" s="28">
        <v>4.3952299999999997</v>
      </c>
      <c r="E78" s="28">
        <v>0.19086600000000001</v>
      </c>
      <c r="F78" s="28">
        <v>0.22752600000000001</v>
      </c>
      <c r="G78" s="28">
        <v>0.20891000000000001</v>
      </c>
      <c r="H78" s="28">
        <v>1.0815999999999999E-2</v>
      </c>
    </row>
    <row r="79" spans="1:14" x14ac:dyDescent="0.35">
      <c r="A79" s="28">
        <v>4981</v>
      </c>
      <c r="B79" s="28">
        <v>134</v>
      </c>
      <c r="C79" s="28">
        <v>2.690223</v>
      </c>
      <c r="D79" s="28">
        <v>4.565588</v>
      </c>
      <c r="E79" s="28">
        <v>0.159135</v>
      </c>
      <c r="F79" s="28">
        <v>0.19084899999999999</v>
      </c>
      <c r="G79" s="28">
        <v>0.17486099999999999</v>
      </c>
      <c r="H79" s="28">
        <v>8.7950000000000007E-3</v>
      </c>
    </row>
    <row r="80" spans="1:14" x14ac:dyDescent="0.35">
      <c r="A80" s="28">
        <v>6434</v>
      </c>
      <c r="B80" s="28">
        <v>63</v>
      </c>
      <c r="C80" s="28">
        <v>0.97917299999999996</v>
      </c>
      <c r="D80" s="28">
        <v>2.1465079999999999</v>
      </c>
      <c r="E80" s="28">
        <v>0.14200499999999999</v>
      </c>
      <c r="F80" s="28">
        <v>0.15909999999999999</v>
      </c>
      <c r="G80" s="28">
        <v>0.14793700000000001</v>
      </c>
      <c r="H80" s="28">
        <v>5.5399999999999998E-3</v>
      </c>
    </row>
    <row r="81" spans="1:8" x14ac:dyDescent="0.35">
      <c r="A81" s="28">
        <v>9374</v>
      </c>
      <c r="B81" s="28">
        <v>52</v>
      </c>
      <c r="C81" s="28">
        <v>0.55472600000000005</v>
      </c>
      <c r="D81" s="28">
        <v>1.7717210000000001</v>
      </c>
      <c r="E81" s="28">
        <v>0.12809899999999999</v>
      </c>
      <c r="F81" s="28">
        <v>0.14200199999999999</v>
      </c>
      <c r="G81" s="28">
        <v>0.13398399999999999</v>
      </c>
      <c r="H81" s="28">
        <v>4.4660000000000004E-3</v>
      </c>
    </row>
    <row r="82" spans="1:8" x14ac:dyDescent="0.35">
      <c r="A82" s="28">
        <v>9532</v>
      </c>
      <c r="B82" s="28">
        <v>89</v>
      </c>
      <c r="C82" s="28">
        <v>0.933697</v>
      </c>
      <c r="D82" s="28">
        <v>3.032368</v>
      </c>
      <c r="E82" s="28">
        <v>0.112204</v>
      </c>
      <c r="F82" s="28">
        <v>0.12808800000000001</v>
      </c>
      <c r="G82" s="28">
        <v>0.11940000000000001</v>
      </c>
      <c r="H82" s="28">
        <v>4.0759999999999998E-3</v>
      </c>
    </row>
    <row r="83" spans="1:8" x14ac:dyDescent="0.35">
      <c r="A83" s="28">
        <v>4272</v>
      </c>
      <c r="B83" s="28">
        <v>104</v>
      </c>
      <c r="C83" s="28">
        <v>2.4344570000000001</v>
      </c>
      <c r="D83" s="28">
        <v>3.5434410000000001</v>
      </c>
      <c r="E83" s="28">
        <v>8.9774000000000007E-2</v>
      </c>
      <c r="F83" s="28">
        <v>0.11218500000000001</v>
      </c>
      <c r="G83" s="28">
        <v>0.101288</v>
      </c>
      <c r="H83" s="28">
        <v>6.7099999999999998E-3</v>
      </c>
    </row>
    <row r="84" spans="1:8" x14ac:dyDescent="0.35">
      <c r="A84" s="28">
        <v>6451</v>
      </c>
      <c r="B84" s="28">
        <v>118</v>
      </c>
      <c r="C84" s="28">
        <v>1.8291740000000001</v>
      </c>
      <c r="D84" s="28">
        <v>4.0204430000000002</v>
      </c>
      <c r="E84" s="28">
        <v>6.3705999999999999E-2</v>
      </c>
      <c r="F84" s="28">
        <v>8.9767E-2</v>
      </c>
      <c r="G84" s="28">
        <v>7.7036999999999994E-2</v>
      </c>
      <c r="H84" s="28">
        <v>7.4450000000000002E-3</v>
      </c>
    </row>
    <row r="85" spans="1:8" x14ac:dyDescent="0.35">
      <c r="A85" s="28">
        <v>5791</v>
      </c>
      <c r="B85" s="28">
        <v>93</v>
      </c>
      <c r="C85" s="28">
        <v>1.6059399999999999</v>
      </c>
      <c r="D85" s="28">
        <v>3.1686540000000001</v>
      </c>
      <c r="E85" s="28">
        <v>4.1217999999999998E-2</v>
      </c>
      <c r="F85" s="28">
        <v>6.3695000000000002E-2</v>
      </c>
      <c r="G85" s="28">
        <v>5.2618999999999999E-2</v>
      </c>
      <c r="H85" s="28">
        <v>5.4000000000000003E-3</v>
      </c>
    </row>
    <row r="86" spans="1:8" x14ac:dyDescent="0.35">
      <c r="A86" s="28">
        <v>4736</v>
      </c>
      <c r="B86" s="28">
        <v>149</v>
      </c>
      <c r="C86" s="28">
        <v>3.146115</v>
      </c>
      <c r="D86" s="28">
        <v>5.0766609999999996</v>
      </c>
      <c r="E86" s="28">
        <v>0</v>
      </c>
      <c r="F86" s="28">
        <v>4.1182000000000003E-2</v>
      </c>
      <c r="G86" s="28">
        <v>2.1933999999999999E-2</v>
      </c>
      <c r="H86" s="28">
        <v>1.1551000000000001E-2</v>
      </c>
    </row>
    <row r="87" spans="1:8" x14ac:dyDescent="0.35">
      <c r="A87" s="28">
        <f>SUM(Table87[Counts])</f>
        <v>125236</v>
      </c>
      <c r="B87" s="28">
        <f>SUM(Table87[Positive Target])</f>
        <v>2935</v>
      </c>
      <c r="C87" s="28">
        <f>Table87[[#Totals],[Positive Target]]/Table87[[#Totals],[Counts]]*100</f>
        <v>2.34357532977738</v>
      </c>
      <c r="D87" s="28"/>
      <c r="E87" s="28"/>
      <c r="F87" s="28"/>
      <c r="G87" s="28"/>
      <c r="H87" s="28"/>
    </row>
  </sheetData>
  <pageMargins left="0.7" right="0.7" top="0.75" bottom="0.75" header="0.3" footer="0.3"/>
  <headerFooter>
    <oddFooter>&amp;C_x000D_&amp;1#&amp;"Aptos"&amp;12&amp;K008000 Public</oddFooter>
  </headerFooter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6B2A-91D8-4985-A153-BCD88981832D}">
  <dimension ref="A4:S65"/>
  <sheetViews>
    <sheetView topLeftCell="A26" zoomScale="59" zoomScaleNormal="70" workbookViewId="0">
      <selection activeCell="A44" sqref="A44"/>
    </sheetView>
  </sheetViews>
  <sheetFormatPr defaultColWidth="8.7265625" defaultRowHeight="18.5" x14ac:dyDescent="0.45"/>
  <cols>
    <col min="1" max="1" width="59.7265625" style="2" customWidth="1"/>
    <col min="2" max="2" width="15" style="2" customWidth="1"/>
    <col min="3" max="3" width="12.1796875" style="2" customWidth="1"/>
    <col min="4" max="4" width="18.26953125" style="2" customWidth="1"/>
    <col min="5" max="5" width="18.1796875" style="2" customWidth="1"/>
    <col min="6" max="6" width="18.26953125" style="2" customWidth="1"/>
    <col min="7" max="7" width="40.453125" style="2" customWidth="1"/>
    <col min="8" max="8" width="23.7265625" style="2" customWidth="1"/>
    <col min="9" max="10" width="19.81640625" style="2" customWidth="1"/>
    <col min="11" max="11" width="23.54296875" style="2" customWidth="1"/>
    <col min="12" max="17" width="8.7265625" style="2"/>
    <col min="18" max="18" width="0.54296875" style="2" customWidth="1"/>
    <col min="19" max="19" width="8.7265625" style="2" hidden="1" customWidth="1"/>
    <col min="20" max="20" width="21.453125" style="2" customWidth="1"/>
    <col min="21" max="21" width="23" style="2" customWidth="1"/>
    <col min="22" max="22" width="23.7265625" style="2" customWidth="1"/>
    <col min="23" max="23" width="18.54296875" style="2" customWidth="1"/>
    <col min="24" max="24" width="17.81640625" style="2" customWidth="1"/>
    <col min="25" max="25" width="14.54296875" style="2" customWidth="1"/>
    <col min="26" max="26" width="16.26953125" style="2" customWidth="1"/>
    <col min="27" max="16384" width="8.7265625" style="2"/>
  </cols>
  <sheetData>
    <row r="4" spans="1:11" ht="18.649999999999999" customHeight="1" x14ac:dyDescent="0.45"/>
    <row r="5" spans="1:11" ht="0.65" customHeight="1" x14ac:dyDescent="0.45"/>
    <row r="6" spans="1:11" ht="17.5" customHeight="1" x14ac:dyDescent="0.45">
      <c r="A6" s="7" t="s">
        <v>14</v>
      </c>
    </row>
    <row r="7" spans="1:11" ht="17.149999999999999" customHeight="1" x14ac:dyDescent="0.45">
      <c r="A7" s="2" t="s">
        <v>15</v>
      </c>
    </row>
    <row r="8" spans="1:11" x14ac:dyDescent="0.45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26</v>
      </c>
    </row>
    <row r="9" spans="1:11" x14ac:dyDescent="0.45">
      <c r="A9" s="3" t="s">
        <v>27</v>
      </c>
      <c r="B9" s="3" t="s">
        <v>28</v>
      </c>
      <c r="C9" s="4">
        <v>0.88249999999999995</v>
      </c>
      <c r="D9" s="4">
        <v>0.71160000000000001</v>
      </c>
      <c r="E9" s="4">
        <v>3.2000000000000002E-3</v>
      </c>
      <c r="F9" s="4">
        <v>0.90629999999999999</v>
      </c>
      <c r="G9" s="4">
        <v>6.3E-3</v>
      </c>
      <c r="H9" s="2">
        <v>56.329930775548519</v>
      </c>
      <c r="I9" s="2">
        <v>22.773671242520241</v>
      </c>
      <c r="J9" s="2">
        <v>12.71852634049044</v>
      </c>
      <c r="K9" s="2">
        <f>Table13[[#This Row],[Decile-1  Capture %]]+Table13[[#This Row],[Decile-2  Capture %]]+Table13[[#This Row],[Decile-3  Capture %]]</f>
        <v>91.822128358559198</v>
      </c>
    </row>
    <row r="10" spans="1:11" x14ac:dyDescent="0.45">
      <c r="A10" s="3" t="s">
        <v>27</v>
      </c>
      <c r="B10" s="3" t="s">
        <v>29</v>
      </c>
      <c r="C10" s="4">
        <v>0.88380000000000003</v>
      </c>
      <c r="D10" s="4">
        <v>0.70420000000000005</v>
      </c>
      <c r="E10" s="4">
        <v>4.8999999999999998E-3</v>
      </c>
      <c r="F10" s="4">
        <v>0.94279999999999997</v>
      </c>
      <c r="G10" s="4">
        <v>9.7000000000000003E-3</v>
      </c>
      <c r="H10" s="2">
        <v>52.14356929212363</v>
      </c>
      <c r="I10" s="2">
        <v>32.103688933200402</v>
      </c>
      <c r="J10" s="2">
        <v>10.867397806580261</v>
      </c>
      <c r="K10" s="2">
        <f>Table13[[#This Row],[Decile-1  Capture %]]+Table13[[#This Row],[Decile-2  Capture %]]+Table13[[#This Row],[Decile-3  Capture %]]</f>
        <v>95.114656031904289</v>
      </c>
    </row>
    <row r="11" spans="1:11" x14ac:dyDescent="0.45">
      <c r="A11" s="3" t="s">
        <v>27</v>
      </c>
      <c r="B11" s="3" t="s">
        <v>30</v>
      </c>
      <c r="C11" s="4">
        <v>0.86480000000000001</v>
      </c>
      <c r="D11" s="4">
        <v>0.69569999999999999</v>
      </c>
      <c r="E11" s="4">
        <v>2.3999999999999998E-3</v>
      </c>
      <c r="F11" s="4">
        <v>0.90400000000000003</v>
      </c>
      <c r="G11" s="4">
        <v>4.8999999999999998E-3</v>
      </c>
      <c r="H11" s="2">
        <v>46.218487394957982</v>
      </c>
      <c r="I11" s="2">
        <v>29.651860744297721</v>
      </c>
      <c r="J11" s="2">
        <v>15.48619447779112</v>
      </c>
      <c r="K11" s="2">
        <f>Table13[[#This Row],[Decile-1  Capture %]]+Table13[[#This Row],[Decile-2  Capture %]]+Table13[[#This Row],[Decile-3  Capture %]]</f>
        <v>91.356542617046813</v>
      </c>
    </row>
    <row r="12" spans="1:11" x14ac:dyDescent="0.45">
      <c r="A12" s="3" t="s">
        <v>31</v>
      </c>
      <c r="B12" s="3" t="s">
        <v>28</v>
      </c>
      <c r="C12" s="4">
        <v>0.93579999999999997</v>
      </c>
      <c r="D12" s="4">
        <v>0.77200000000000002</v>
      </c>
      <c r="E12" s="4">
        <v>4.1000000000000003E-3</v>
      </c>
      <c r="F12" s="4">
        <v>0.94089999999999996</v>
      </c>
      <c r="G12" s="4">
        <v>8.2000000000000007E-3</v>
      </c>
      <c r="H12" s="2">
        <v>78.141499472016889</v>
      </c>
      <c r="I12" s="2">
        <v>13.93875395987329</v>
      </c>
      <c r="J12" s="2">
        <v>4.1886659626891936</v>
      </c>
      <c r="K12" s="2">
        <f>Table13[[#This Row],[Decile-1  Capture %]]+Table13[[#This Row],[Decile-2  Capture %]]+Table13[[#This Row],[Decile-3  Capture %]]</f>
        <v>96.268919394579385</v>
      </c>
    </row>
    <row r="13" spans="1:11" x14ac:dyDescent="0.45">
      <c r="A13" s="3" t="s">
        <v>31</v>
      </c>
      <c r="B13" s="3" t="s">
        <v>29</v>
      </c>
      <c r="C13" s="4">
        <v>0.85670000000000002</v>
      </c>
      <c r="D13" s="4">
        <v>0.76919999999999999</v>
      </c>
      <c r="E13" s="4">
        <v>5.0000000000000001E-3</v>
      </c>
      <c r="F13" s="4">
        <v>0.7581</v>
      </c>
      <c r="G13" s="4">
        <v>0.01</v>
      </c>
      <c r="H13" s="2">
        <v>45.530076437354609</v>
      </c>
      <c r="I13" s="2">
        <v>25.357261548687269</v>
      </c>
      <c r="J13" s="2">
        <v>17.215021601861078</v>
      </c>
      <c r="K13" s="2">
        <f>Table13[[#This Row],[Decile-1  Capture %]]+Table13[[#This Row],[Decile-2  Capture %]]+Table13[[#This Row],[Decile-3  Capture %]]</f>
        <v>88.102359587902953</v>
      </c>
    </row>
    <row r="14" spans="1:11" x14ac:dyDescent="0.45">
      <c r="A14" s="3" t="s">
        <v>31</v>
      </c>
      <c r="B14" s="3" t="s">
        <v>30</v>
      </c>
      <c r="C14" s="4">
        <v>0.84489999999999998</v>
      </c>
      <c r="D14" s="4">
        <v>0.78520000000000001</v>
      </c>
      <c r="E14" s="4">
        <v>2.7000000000000001E-3</v>
      </c>
      <c r="F14" s="4">
        <v>0.69630000000000003</v>
      </c>
      <c r="G14" s="4">
        <v>5.3E-3</v>
      </c>
      <c r="H14" s="2">
        <v>35.534213685474192</v>
      </c>
      <c r="I14" s="2">
        <v>27.490996398559421</v>
      </c>
      <c r="J14" s="2">
        <v>21.248499399759901</v>
      </c>
      <c r="K14" s="2">
        <f>Table13[[#This Row],[Decile-1  Capture %]]+Table13[[#This Row],[Decile-2  Capture %]]+Table13[[#This Row],[Decile-3  Capture %]]</f>
        <v>84.27370948379351</v>
      </c>
    </row>
    <row r="16" spans="1:11" ht="21.65" customHeight="1" x14ac:dyDescent="0.45">
      <c r="A16" s="7" t="s">
        <v>32</v>
      </c>
    </row>
    <row r="17" spans="1:11" ht="17.149999999999999" customHeight="1" x14ac:dyDescent="0.45">
      <c r="A17" s="5" t="s">
        <v>33</v>
      </c>
    </row>
    <row r="18" spans="1:11" ht="27.65" customHeight="1" x14ac:dyDescent="0.45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26</v>
      </c>
    </row>
    <row r="19" spans="1:11" ht="25" customHeight="1" x14ac:dyDescent="0.45">
      <c r="A19" s="18" t="s">
        <v>27</v>
      </c>
      <c r="B19" s="18" t="s">
        <v>28</v>
      </c>
      <c r="C19" s="18">
        <v>0.88360000000000005</v>
      </c>
      <c r="D19" s="18">
        <v>0.71179999999999999</v>
      </c>
      <c r="E19" s="18">
        <v>3.2000000000000002E-3</v>
      </c>
      <c r="F19" s="18">
        <v>0.91120000000000001</v>
      </c>
      <c r="G19" s="18">
        <v>6.3E-3</v>
      </c>
      <c r="H19" s="18">
        <v>57.89041417341312</v>
      </c>
      <c r="I19" s="18">
        <v>22.609409832218699</v>
      </c>
      <c r="J19" s="18">
        <v>11.47483280535023</v>
      </c>
      <c r="K19" s="18">
        <f>H19+I19+J19</f>
        <v>91.974656810982054</v>
      </c>
    </row>
    <row r="20" spans="1:11" ht="24.65" customHeight="1" x14ac:dyDescent="0.45">
      <c r="A20" s="18" t="s">
        <v>27</v>
      </c>
      <c r="B20" s="18" t="s">
        <v>34</v>
      </c>
      <c r="C20" s="18">
        <v>0.91410000000000002</v>
      </c>
      <c r="D20" s="18">
        <v>0.71009999999999995</v>
      </c>
      <c r="E20" s="18">
        <v>5.0000000000000001E-3</v>
      </c>
      <c r="F20" s="18">
        <v>0.95250000000000001</v>
      </c>
      <c r="G20" s="18">
        <v>0.01</v>
      </c>
      <c r="H20" s="18">
        <v>68.627450980392155</v>
      </c>
      <c r="I20" s="18">
        <v>19.84047856430708</v>
      </c>
      <c r="J20" s="18">
        <v>7.6105018278497836</v>
      </c>
      <c r="K20" s="18">
        <f>H20+I20+J20</f>
        <v>96.078431372549019</v>
      </c>
    </row>
    <row r="21" spans="1:11" ht="24.65" customHeight="1" x14ac:dyDescent="0.45">
      <c r="A21" s="18" t="s">
        <v>27</v>
      </c>
      <c r="B21" s="18" t="s">
        <v>30</v>
      </c>
      <c r="C21" s="18">
        <v>0.86799999999999999</v>
      </c>
      <c r="D21" s="18">
        <v>0.70209999999999995</v>
      </c>
      <c r="E21" s="18">
        <v>2.5000000000000001E-3</v>
      </c>
      <c r="F21" s="18">
        <v>0.9052</v>
      </c>
      <c r="G21" s="18">
        <v>5.0000000000000001E-3</v>
      </c>
      <c r="H21" s="18">
        <v>47.298919567827127</v>
      </c>
      <c r="I21" s="18">
        <v>27.490996398559421</v>
      </c>
      <c r="J21" s="18">
        <v>16.926770708283311</v>
      </c>
      <c r="K21" s="18">
        <f>H21+I21+J21</f>
        <v>91.716686674669859</v>
      </c>
    </row>
    <row r="22" spans="1:11" x14ac:dyDescent="0.45">
      <c r="A22" s="2" t="s">
        <v>31</v>
      </c>
      <c r="B22" s="2" t="s">
        <v>28</v>
      </c>
      <c r="C22" s="2">
        <v>0.89459999999999995</v>
      </c>
      <c r="D22" s="2">
        <v>0.89170000000000005</v>
      </c>
      <c r="E22" s="2">
        <v>5.8999999999999999E-3</v>
      </c>
      <c r="F22" s="2">
        <v>0.64</v>
      </c>
      <c r="G22" s="2">
        <v>1.18E-2</v>
      </c>
      <c r="H22" s="2">
        <v>61.433767452774838</v>
      </c>
      <c r="I22" s="2">
        <v>21.471312917986619</v>
      </c>
      <c r="J22" s="2">
        <v>10.618326880206499</v>
      </c>
      <c r="K22" s="2">
        <f>H22+I22+J22</f>
        <v>93.523407250967949</v>
      </c>
    </row>
    <row r="23" spans="1:11" x14ac:dyDescent="0.45">
      <c r="A23" s="2" t="s">
        <v>31</v>
      </c>
      <c r="B23" s="2" t="s">
        <v>34</v>
      </c>
      <c r="C23" s="2">
        <v>0.9244</v>
      </c>
      <c r="D23" s="2">
        <v>0.90059999999999996</v>
      </c>
      <c r="E23" s="2">
        <v>1.14E-2</v>
      </c>
      <c r="F23" s="2">
        <v>0.74239999999999995</v>
      </c>
      <c r="G23" s="2">
        <v>2.24E-2</v>
      </c>
      <c r="H23" s="2">
        <v>71.950814223994684</v>
      </c>
      <c r="I23" s="2">
        <v>17.447657028913259</v>
      </c>
      <c r="J23" s="2">
        <v>6.8461282818212021</v>
      </c>
      <c r="K23" s="2">
        <f t="shared" ref="K23:K24" si="0">H23+I23+J23</f>
        <v>96.244599534729147</v>
      </c>
    </row>
    <row r="24" spans="1:11" x14ac:dyDescent="0.45">
      <c r="A24" s="2" t="s">
        <v>31</v>
      </c>
      <c r="B24" s="2" t="s">
        <v>30</v>
      </c>
      <c r="C24" s="2">
        <v>0.86539999999999995</v>
      </c>
      <c r="D24" s="2">
        <v>0.90839999999999999</v>
      </c>
      <c r="E24" s="2">
        <v>4.4000000000000003E-3</v>
      </c>
      <c r="F24" s="2">
        <v>0.49459999999999998</v>
      </c>
      <c r="G24" s="2">
        <v>8.8000000000000005E-3</v>
      </c>
      <c r="H24" s="2">
        <v>45.978391356542623</v>
      </c>
      <c r="I24" s="2">
        <v>29.051620648259298</v>
      </c>
      <c r="J24" s="2">
        <v>16.206482593037219</v>
      </c>
      <c r="K24" s="2">
        <f t="shared" si="0"/>
        <v>91.23649459783914</v>
      </c>
    </row>
    <row r="26" spans="1:11" x14ac:dyDescent="0.45">
      <c r="A26" s="7" t="s">
        <v>35</v>
      </c>
    </row>
    <row r="27" spans="1:11" ht="21" customHeight="1" x14ac:dyDescent="0.45">
      <c r="A27" s="2" t="s">
        <v>15</v>
      </c>
    </row>
    <row r="28" spans="1:11" x14ac:dyDescent="0.45">
      <c r="A28" s="2" t="s">
        <v>16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26</v>
      </c>
    </row>
    <row r="29" spans="1:11" x14ac:dyDescent="0.45">
      <c r="A29" s="2" t="s">
        <v>36</v>
      </c>
      <c r="B29" s="2" t="s">
        <v>28</v>
      </c>
      <c r="C29" s="2">
        <v>0.87739999999999996</v>
      </c>
      <c r="D29" s="2">
        <v>0.71150000000000002</v>
      </c>
      <c r="E29" s="2">
        <v>3.0999999999999999E-3</v>
      </c>
      <c r="F29" s="2">
        <v>0.89670000000000005</v>
      </c>
      <c r="G29" s="2">
        <v>6.1999999999999998E-3</v>
      </c>
      <c r="H29" s="2">
        <v>55.004106535257527</v>
      </c>
      <c r="I29" s="2">
        <v>23.60671125190661</v>
      </c>
      <c r="J29" s="2">
        <v>12.5542649301889</v>
      </c>
      <c r="K29" s="2">
        <f>Table1329[[#This Row],[Decile-1  Capture %]]+Table1329[[#This Row],[Decile-2  Capture %]]+Table1329[[#This Row],[Decile-3  Capture %]]</f>
        <v>91.165082717353044</v>
      </c>
    </row>
    <row r="30" spans="1:11" x14ac:dyDescent="0.45">
      <c r="A30" s="2" t="s">
        <v>36</v>
      </c>
      <c r="B30" s="2" t="s">
        <v>34</v>
      </c>
      <c r="C30" s="2">
        <v>0.89080000000000004</v>
      </c>
      <c r="D30" s="2">
        <v>0.68910000000000005</v>
      </c>
      <c r="E30" s="2">
        <v>4.7000000000000002E-3</v>
      </c>
      <c r="F30" s="2">
        <v>0.94750000000000001</v>
      </c>
      <c r="G30" s="2">
        <v>9.2999999999999992E-3</v>
      </c>
      <c r="H30" s="2">
        <v>56.198072449318722</v>
      </c>
      <c r="I30" s="2">
        <v>28.78032568959787</v>
      </c>
      <c r="J30" s="2">
        <v>10.867397806580261</v>
      </c>
      <c r="K30" s="2">
        <f>Table1329[[#This Row],[Decile-1  Capture %]]+Table1329[[#This Row],[Decile-2  Capture %]]+Table1329[[#This Row],[Decile-3  Capture %]]</f>
        <v>95.845795945496846</v>
      </c>
    </row>
    <row r="31" spans="1:11" x14ac:dyDescent="0.45">
      <c r="A31" s="2" t="s">
        <v>36</v>
      </c>
      <c r="B31" s="2" t="s">
        <v>30</v>
      </c>
      <c r="C31" s="2">
        <v>0.86150000000000004</v>
      </c>
      <c r="D31" s="2">
        <v>0.68179999999999996</v>
      </c>
      <c r="E31" s="2">
        <v>2.3E-3</v>
      </c>
      <c r="F31" s="2">
        <v>0.91</v>
      </c>
      <c r="G31" s="2">
        <v>4.7000000000000002E-3</v>
      </c>
      <c r="H31" s="2">
        <v>45.018007202881158</v>
      </c>
      <c r="I31" s="2">
        <v>29.531812725090031</v>
      </c>
      <c r="J31" s="2">
        <v>17.887154861944779</v>
      </c>
      <c r="K31" s="2">
        <f>Table1329[[#This Row],[Decile-1  Capture %]]+Table1329[[#This Row],[Decile-2  Capture %]]+Table1329[[#This Row],[Decile-3  Capture %]]</f>
        <v>92.436974789915965</v>
      </c>
    </row>
    <row r="32" spans="1:11" x14ac:dyDescent="0.45">
      <c r="A32" s="2" t="s">
        <v>37</v>
      </c>
      <c r="B32" s="2" t="s">
        <v>28</v>
      </c>
      <c r="C32" s="2">
        <v>0.88049999999999995</v>
      </c>
      <c r="D32" s="2">
        <v>0.70289999999999997</v>
      </c>
      <c r="E32" s="2">
        <v>3.0999999999999999E-3</v>
      </c>
      <c r="F32" s="2">
        <v>0.91069999999999995</v>
      </c>
      <c r="G32" s="2">
        <v>6.1000000000000004E-3</v>
      </c>
      <c r="H32" s="2">
        <v>56.060072744338846</v>
      </c>
      <c r="I32" s="2">
        <v>23.02006335797255</v>
      </c>
      <c r="J32" s="2">
        <v>12.24920802534319</v>
      </c>
      <c r="K32" s="2">
        <f>Table1329[[#This Row],[Decile-1  Capture %]]+Table1329[[#This Row],[Decile-2  Capture %]]+Table1329[[#This Row],[Decile-3  Capture %]]</f>
        <v>91.329344127654593</v>
      </c>
    </row>
    <row r="33" spans="1:11" x14ac:dyDescent="0.45">
      <c r="A33" s="2" t="s">
        <v>37</v>
      </c>
      <c r="B33" s="2" t="s">
        <v>34</v>
      </c>
      <c r="C33" s="2">
        <v>0.89729999999999999</v>
      </c>
      <c r="D33" s="2">
        <v>0.67510000000000003</v>
      </c>
      <c r="E33" s="2">
        <v>4.4999999999999997E-3</v>
      </c>
      <c r="F33" s="2">
        <v>0.95550000000000002</v>
      </c>
      <c r="G33" s="2">
        <v>8.9999999999999993E-3</v>
      </c>
      <c r="H33" s="2">
        <v>58.358258557660349</v>
      </c>
      <c r="I33" s="2">
        <v>27.750083084081091</v>
      </c>
      <c r="J33" s="2">
        <v>9.6709870388833501</v>
      </c>
      <c r="K33" s="2">
        <f>Table1329[[#This Row],[Decile-1  Capture %]]+Table1329[[#This Row],[Decile-2  Capture %]]+Table1329[[#This Row],[Decile-3  Capture %]]</f>
        <v>95.779328680624801</v>
      </c>
    </row>
    <row r="34" spans="1:11" x14ac:dyDescent="0.45">
      <c r="A34" s="2" t="s">
        <v>37</v>
      </c>
      <c r="B34" s="2" t="s">
        <v>30</v>
      </c>
      <c r="C34" s="2">
        <v>0.86339999999999995</v>
      </c>
      <c r="D34" s="2">
        <v>0.66990000000000005</v>
      </c>
      <c r="E34" s="2">
        <v>2.3E-3</v>
      </c>
      <c r="F34" s="2">
        <v>0.92079999999999995</v>
      </c>
      <c r="G34" s="2">
        <v>4.5999999999999999E-3</v>
      </c>
      <c r="H34" s="2">
        <v>45.61824729891957</v>
      </c>
      <c r="I34" s="2">
        <v>28.69147659063626</v>
      </c>
      <c r="J34" s="2">
        <v>18.007202881152459</v>
      </c>
      <c r="K34" s="2">
        <f>Table1329[[#This Row],[Decile-1  Capture %]]+Table1329[[#This Row],[Decile-2  Capture %]]+Table1329[[#This Row],[Decile-3  Capture %]]</f>
        <v>92.316926770708278</v>
      </c>
    </row>
    <row r="35" spans="1:11" x14ac:dyDescent="0.45">
      <c r="A35" s="2" t="s">
        <v>38</v>
      </c>
      <c r="B35" s="2" t="s">
        <v>28</v>
      </c>
      <c r="C35" s="2">
        <v>0.8821</v>
      </c>
      <c r="D35" s="2">
        <v>0.70299999999999996</v>
      </c>
      <c r="E35" s="2">
        <v>3.0999999999999999E-3</v>
      </c>
      <c r="F35" s="2">
        <v>0.91359999999999997</v>
      </c>
      <c r="G35" s="2">
        <v>6.1999999999999998E-3</v>
      </c>
      <c r="H35" s="2">
        <v>56.294731901912478</v>
      </c>
      <c r="I35" s="2">
        <v>23.07872814736595</v>
      </c>
      <c r="J35" s="2">
        <v>12.37827056200868</v>
      </c>
      <c r="K35" s="2">
        <f>Table1329[[#This Row],[Decile-1  Capture %]]+Table1329[[#This Row],[Decile-2  Capture %]]+Table1329[[#This Row],[Decile-3  Capture %]]</f>
        <v>91.751730611287115</v>
      </c>
    </row>
    <row r="36" spans="1:11" x14ac:dyDescent="0.45">
      <c r="A36" s="2" t="s">
        <v>38</v>
      </c>
      <c r="B36" s="2" t="s">
        <v>34</v>
      </c>
      <c r="C36" s="2">
        <v>0.89649999999999996</v>
      </c>
      <c r="D36" s="2">
        <v>0.67689999999999995</v>
      </c>
      <c r="E36" s="2">
        <v>4.4999999999999997E-3</v>
      </c>
      <c r="F36" s="2">
        <v>0.95650000000000002</v>
      </c>
      <c r="G36" s="2">
        <v>8.9999999999999993E-3</v>
      </c>
      <c r="H36" s="2">
        <v>58.192090395480221</v>
      </c>
      <c r="I36" s="2">
        <v>27.949484878697241</v>
      </c>
      <c r="J36" s="2">
        <v>9.5380525091392485</v>
      </c>
      <c r="K36" s="2">
        <f>Table1329[[#This Row],[Decile-1  Capture %]]+Table1329[[#This Row],[Decile-2  Capture %]]+Table1329[[#This Row],[Decile-3  Capture %]]</f>
        <v>95.679627783316704</v>
      </c>
    </row>
    <row r="37" spans="1:11" x14ac:dyDescent="0.45">
      <c r="A37" s="2" t="s">
        <v>38</v>
      </c>
      <c r="B37" s="2" t="s">
        <v>30</v>
      </c>
      <c r="C37" s="2">
        <v>0.86339999999999995</v>
      </c>
      <c r="D37" s="2">
        <v>0.67159999999999997</v>
      </c>
      <c r="E37" s="2">
        <v>2.3E-3</v>
      </c>
      <c r="F37" s="2">
        <v>0.92200000000000004</v>
      </c>
      <c r="G37" s="2">
        <v>4.5999999999999999E-3</v>
      </c>
      <c r="H37" s="2">
        <v>45.858343337334937</v>
      </c>
      <c r="I37" s="2">
        <v>28.571428571428569</v>
      </c>
      <c r="J37" s="2">
        <v>17.7671068427371</v>
      </c>
      <c r="K37" s="2">
        <f>Table1329[[#This Row],[Decile-1  Capture %]]+Table1329[[#This Row],[Decile-2  Capture %]]+Table1329[[#This Row],[Decile-3  Capture %]]</f>
        <v>92.196878751500606</v>
      </c>
    </row>
    <row r="38" spans="1:11" x14ac:dyDescent="0.45">
      <c r="A38" s="2" t="s">
        <v>39</v>
      </c>
      <c r="B38" s="2" t="s">
        <v>28</v>
      </c>
      <c r="C38" s="2">
        <v>0.88429999999999997</v>
      </c>
      <c r="D38" s="2">
        <v>0.7056</v>
      </c>
      <c r="E38" s="2">
        <v>3.0999999999999999E-3</v>
      </c>
      <c r="F38" s="2">
        <v>0.91690000000000005</v>
      </c>
      <c r="G38" s="2">
        <v>6.1999999999999998E-3</v>
      </c>
      <c r="H38" s="2">
        <v>56.705385427666307</v>
      </c>
      <c r="I38" s="2">
        <v>23.536313504634521</v>
      </c>
      <c r="J38" s="2">
        <v>11.850287457468029</v>
      </c>
      <c r="K38" s="2">
        <f>Table1329[[#This Row],[Decile-1  Capture %]]+Table1329[[#This Row],[Decile-2  Capture %]]+Table1329[[#This Row],[Decile-3  Capture %]]</f>
        <v>92.091986389768863</v>
      </c>
    </row>
    <row r="39" spans="1:11" x14ac:dyDescent="0.45">
      <c r="A39" s="2" t="s">
        <v>39</v>
      </c>
      <c r="B39" s="2" t="s">
        <v>34</v>
      </c>
      <c r="C39" s="2">
        <v>0.89810000000000001</v>
      </c>
      <c r="D39" s="2">
        <v>0.68369999999999997</v>
      </c>
      <c r="E39" s="2">
        <v>4.5999999999999999E-3</v>
      </c>
      <c r="F39" s="2">
        <v>0.95579999999999998</v>
      </c>
      <c r="G39" s="2">
        <v>9.1999999999999998E-3</v>
      </c>
      <c r="H39" s="2">
        <v>60.285809238949817</v>
      </c>
      <c r="I39" s="2">
        <v>27.151877700232639</v>
      </c>
      <c r="J39" s="2">
        <v>8.3748753738783659</v>
      </c>
      <c r="K39" s="2">
        <f>Table1329[[#This Row],[Decile-1  Capture %]]+Table1329[[#This Row],[Decile-2  Capture %]]+Table1329[[#This Row],[Decile-3  Capture %]]</f>
        <v>95.812562313060823</v>
      </c>
    </row>
    <row r="40" spans="1:11" customFormat="1" x14ac:dyDescent="0.45">
      <c r="A40" s="2" t="s">
        <v>39</v>
      </c>
      <c r="B40" s="2" t="s">
        <v>30</v>
      </c>
      <c r="C40" s="2">
        <v>0.86470000000000002</v>
      </c>
      <c r="D40" s="2">
        <v>0.67330000000000001</v>
      </c>
      <c r="E40" s="2">
        <v>2.3E-3</v>
      </c>
      <c r="F40" s="2">
        <v>0.92079999999999995</v>
      </c>
      <c r="G40" s="2">
        <v>4.5999999999999999E-3</v>
      </c>
      <c r="H40" s="2">
        <v>45.258103241296517</v>
      </c>
      <c r="I40" s="2">
        <v>29.651860744297721</v>
      </c>
      <c r="J40" s="2">
        <v>17.647058823529409</v>
      </c>
      <c r="K40" s="2">
        <f>Table1329[[#This Row],[Decile-1  Capture %]]+Table1329[[#This Row],[Decile-2  Capture %]]+Table1329[[#This Row],[Decile-3  Capture %]]</f>
        <v>92.557022809123637</v>
      </c>
    </row>
    <row r="41" spans="1:11" customFormat="1" ht="14.5" x14ac:dyDescent="0.35"/>
    <row r="42" spans="1:11" customFormat="1" ht="14.5" x14ac:dyDescent="0.35">
      <c r="A42" s="11"/>
    </row>
    <row r="43" spans="1:11" ht="37" x14ac:dyDescent="0.45">
      <c r="A43" s="10" t="s">
        <v>40</v>
      </c>
    </row>
    <row r="44" spans="1:11" x14ac:dyDescent="0.45">
      <c r="A44" s="39" t="s">
        <v>41</v>
      </c>
    </row>
    <row r="45" spans="1:11" x14ac:dyDescent="0.45">
      <c r="A45" s="2" t="s">
        <v>16</v>
      </c>
      <c r="B45" s="2" t="s">
        <v>17</v>
      </c>
      <c r="C45" s="2" t="s">
        <v>18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26</v>
      </c>
    </row>
    <row r="46" spans="1:11" x14ac:dyDescent="0.45">
      <c r="A46" s="2" t="s">
        <v>42</v>
      </c>
      <c r="B46" s="2" t="s">
        <v>28</v>
      </c>
      <c r="C46" s="2">
        <v>0.87660000000000005</v>
      </c>
      <c r="D46" s="2">
        <v>0.68430000000000002</v>
      </c>
      <c r="E46" s="2">
        <v>2.8999999999999998E-3</v>
      </c>
      <c r="F46" s="2">
        <v>0.92459999999999998</v>
      </c>
      <c r="G46" s="2">
        <v>5.8999999999999999E-3</v>
      </c>
      <c r="H46" s="2">
        <v>54.828112167077322</v>
      </c>
      <c r="I46" s="2">
        <v>24.08776252493254</v>
      </c>
      <c r="J46" s="2">
        <v>11.90895224686143</v>
      </c>
      <c r="K46" s="2">
        <f>Table1413[[#This Row],[Decile-1  Capture %]]+Table1413[[#This Row],[Decile-2  Capture %]]+Table1413[[#This Row],[Decile-3  Capture %]]</f>
        <v>90.824826938871297</v>
      </c>
    </row>
    <row r="47" spans="1:11" x14ac:dyDescent="0.45">
      <c r="A47" s="2" t="s">
        <v>42</v>
      </c>
      <c r="B47" s="2" t="s">
        <v>34</v>
      </c>
      <c r="C47" s="2">
        <v>0.89880000000000004</v>
      </c>
      <c r="D47" s="2">
        <v>0.66690000000000005</v>
      </c>
      <c r="E47" s="2">
        <v>4.4000000000000003E-3</v>
      </c>
      <c r="F47" s="2">
        <v>0.96579999999999999</v>
      </c>
      <c r="G47" s="2">
        <v>8.8000000000000005E-3</v>
      </c>
      <c r="H47" s="2">
        <v>60.186108341641742</v>
      </c>
      <c r="I47" s="2">
        <v>25.722831505483551</v>
      </c>
      <c r="J47" s="2">
        <v>9.5380525091392485</v>
      </c>
      <c r="K47" s="2">
        <f>Table1413[[#This Row],[Decile-1  Capture %]]+Table1413[[#This Row],[Decile-2  Capture %]]+Table1413[[#This Row],[Decile-3  Capture %]]</f>
        <v>95.446992356264545</v>
      </c>
    </row>
    <row r="48" spans="1:11" x14ac:dyDescent="0.45">
      <c r="A48" s="2" t="s">
        <v>42</v>
      </c>
      <c r="B48" s="2" t="s">
        <v>30</v>
      </c>
      <c r="C48" s="2">
        <v>0.86270000000000002</v>
      </c>
      <c r="D48" s="2">
        <v>0.6613</v>
      </c>
      <c r="E48" s="2">
        <v>2.3E-3</v>
      </c>
      <c r="F48" s="2">
        <v>0.93400000000000005</v>
      </c>
      <c r="G48" s="2">
        <v>4.4999999999999997E-3</v>
      </c>
      <c r="H48" s="2">
        <v>44.657863145258098</v>
      </c>
      <c r="I48" s="2">
        <v>29.651860744297721</v>
      </c>
      <c r="J48" s="2">
        <v>16.566626650660261</v>
      </c>
      <c r="K48" s="2">
        <f>Table1413[[#This Row],[Decile-1  Capture %]]+Table1413[[#This Row],[Decile-2  Capture %]]+Table1413[[#This Row],[Decile-3  Capture %]]</f>
        <v>90.876350540216066</v>
      </c>
    </row>
    <row r="49" spans="1:11" x14ac:dyDescent="0.45">
      <c r="A49" s="18" t="s">
        <v>43</v>
      </c>
      <c r="B49" s="18" t="s">
        <v>28</v>
      </c>
      <c r="C49" s="18">
        <v>0.89770000000000005</v>
      </c>
      <c r="D49" s="18">
        <v>0.68120000000000003</v>
      </c>
      <c r="E49" s="18">
        <v>3.0000000000000001E-3</v>
      </c>
      <c r="F49" s="18">
        <v>0.95120000000000005</v>
      </c>
      <c r="G49" s="18">
        <v>6.0000000000000001E-3</v>
      </c>
      <c r="H49" s="18">
        <v>62.043880000000001</v>
      </c>
      <c r="I49" s="18">
        <v>21.7529</v>
      </c>
      <c r="J49" s="18">
        <v>10.25461</v>
      </c>
      <c r="K49" s="18">
        <f>Table1413[[#This Row],[Decile-1  Capture %]]+Table1413[[#This Row],[Decile-2  Capture %]]+Table1413[[#This Row],[Decile-3  Capture %]]</f>
        <v>94.051389999999998</v>
      </c>
    </row>
    <row r="50" spans="1:11" x14ac:dyDescent="0.45">
      <c r="A50" s="18" t="s">
        <v>43</v>
      </c>
      <c r="B50" s="18" t="s">
        <v>34</v>
      </c>
      <c r="C50" s="18">
        <v>0.92310000000000003</v>
      </c>
      <c r="D50" s="18">
        <v>0.67800000000000005</v>
      </c>
      <c r="E50" s="18">
        <v>4.5999999999999999E-3</v>
      </c>
      <c r="F50" s="18">
        <v>0.97440000000000004</v>
      </c>
      <c r="G50" s="18">
        <v>9.1999999999999998E-3</v>
      </c>
      <c r="H50" s="18">
        <v>72.050520000000006</v>
      </c>
      <c r="I50" s="18">
        <v>17.480889999999999</v>
      </c>
      <c r="J50" s="18">
        <v>6.7131939999999997</v>
      </c>
      <c r="K50" s="18">
        <f>Table1413[[#This Row],[Decile-1  Capture %]]+Table1413[[#This Row],[Decile-2  Capture %]]+Table1413[[#This Row],[Decile-3  Capture %]]</f>
        <v>96.24460400000001</v>
      </c>
    </row>
    <row r="51" spans="1:11" x14ac:dyDescent="0.45">
      <c r="A51" s="18" t="s">
        <v>43</v>
      </c>
      <c r="B51" s="18" t="s">
        <v>30</v>
      </c>
      <c r="C51" s="18">
        <v>0.87229999999999996</v>
      </c>
      <c r="D51" s="18">
        <v>0.6714</v>
      </c>
      <c r="E51" s="18">
        <v>2.3E-3</v>
      </c>
      <c r="F51" s="18">
        <v>0.92679999999999996</v>
      </c>
      <c r="G51" s="18">
        <v>4.5999999999999999E-3</v>
      </c>
      <c r="H51" s="18">
        <v>45.858339999999998</v>
      </c>
      <c r="I51" s="18">
        <v>28.211279999999999</v>
      </c>
      <c r="J51" s="18">
        <v>17.04682</v>
      </c>
      <c r="K51" s="18">
        <f>Table1413[[#This Row],[Decile-1  Capture %]]+Table1413[[#This Row],[Decile-2  Capture %]]+Table1413[[#This Row],[Decile-3  Capture %]]</f>
        <v>91.116439999999997</v>
      </c>
    </row>
    <row r="52" spans="1:11" customFormat="1" ht="14.5" x14ac:dyDescent="0.35"/>
    <row r="53" spans="1:11" x14ac:dyDescent="0.45">
      <c r="A53" s="7" t="s">
        <v>44</v>
      </c>
    </row>
    <row r="54" spans="1:11" x14ac:dyDescent="0.45">
      <c r="A54" s="9" t="s">
        <v>45</v>
      </c>
    </row>
    <row r="55" spans="1:11" x14ac:dyDescent="0.45">
      <c r="A55" s="2" t="s">
        <v>16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26</v>
      </c>
    </row>
    <row r="56" spans="1:11" x14ac:dyDescent="0.45">
      <c r="A56" s="2" t="s">
        <v>27</v>
      </c>
      <c r="B56" s="2" t="s">
        <v>28</v>
      </c>
      <c r="C56" s="2">
        <v>0.87009999999999998</v>
      </c>
      <c r="D56" s="2">
        <v>0.68369999999999997</v>
      </c>
      <c r="E56" s="2">
        <v>2.8999999999999998E-3</v>
      </c>
      <c r="F56" s="2">
        <v>0.92749999999999999</v>
      </c>
      <c r="G56" s="2">
        <v>5.8999999999999999E-3</v>
      </c>
      <c r="H56" s="2">
        <v>51.143963393171418</v>
      </c>
      <c r="I56" s="2">
        <v>26.00023465915757</v>
      </c>
      <c r="J56" s="2">
        <v>13.61023113927021</v>
      </c>
      <c r="K56" s="2">
        <f>H56+I56+J56</f>
        <v>90.754429191599201</v>
      </c>
    </row>
    <row r="57" spans="1:11" x14ac:dyDescent="0.45">
      <c r="A57" s="2" t="s">
        <v>27</v>
      </c>
      <c r="B57" s="2" t="s">
        <v>34</v>
      </c>
      <c r="C57" s="2">
        <v>0.87380000000000002</v>
      </c>
      <c r="D57" s="2">
        <v>0.66539999999999999</v>
      </c>
      <c r="E57" s="2">
        <v>4.4000000000000003E-3</v>
      </c>
      <c r="F57" s="2">
        <v>0.96779999999999999</v>
      </c>
      <c r="G57" s="2">
        <v>8.8000000000000005E-3</v>
      </c>
      <c r="H57" s="2">
        <v>59.78730475240944</v>
      </c>
      <c r="I57" s="2">
        <v>20.937188434695909</v>
      </c>
      <c r="J57" s="2">
        <v>14.456630109670989</v>
      </c>
      <c r="K57" s="2">
        <f>H57+I57+J57</f>
        <v>95.181123296776349</v>
      </c>
    </row>
    <row r="58" spans="1:11" x14ac:dyDescent="0.45">
      <c r="A58" s="2" t="s">
        <v>27</v>
      </c>
      <c r="B58" s="2" t="s">
        <v>30</v>
      </c>
      <c r="C58" s="2">
        <v>0.85870000000000002</v>
      </c>
      <c r="D58" s="2">
        <v>0.65559999999999996</v>
      </c>
      <c r="E58" s="2">
        <v>2.2000000000000001E-3</v>
      </c>
      <c r="F58" s="2">
        <v>0.93640000000000001</v>
      </c>
      <c r="G58" s="2">
        <v>4.4000000000000003E-3</v>
      </c>
      <c r="H58" s="2">
        <v>43.69747899159664</v>
      </c>
      <c r="I58" s="2">
        <v>31.452581032412962</v>
      </c>
      <c r="J58" s="2">
        <v>15.966386554621851</v>
      </c>
      <c r="K58" s="2">
        <f>H58+I58+J58</f>
        <v>91.116446578631454</v>
      </c>
    </row>
    <row r="59" spans="1:11" x14ac:dyDescent="0.45">
      <c r="A59" s="8"/>
    </row>
    <row r="60" spans="1:11" x14ac:dyDescent="0.45">
      <c r="A60" s="7" t="s">
        <v>46</v>
      </c>
    </row>
    <row r="61" spans="1:11" x14ac:dyDescent="0.45">
      <c r="A61" s="8" t="s">
        <v>47</v>
      </c>
    </row>
    <row r="62" spans="1:11" x14ac:dyDescent="0.45">
      <c r="A62" s="2" t="s">
        <v>16</v>
      </c>
      <c r="B62" s="2" t="s">
        <v>17</v>
      </c>
      <c r="C62" s="2" t="s">
        <v>18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26</v>
      </c>
    </row>
    <row r="63" spans="1:11" x14ac:dyDescent="0.45">
      <c r="A63" s="2" t="s">
        <v>48</v>
      </c>
      <c r="B63" s="2" t="s">
        <v>28</v>
      </c>
      <c r="C63" s="2">
        <v>0.8095</v>
      </c>
      <c r="D63" s="2">
        <v>0.96340000000000003</v>
      </c>
      <c r="E63" s="2">
        <v>6.1000000000000004E-3</v>
      </c>
      <c r="F63" s="2">
        <v>0.218</v>
      </c>
      <c r="G63" s="2">
        <v>1.18E-2</v>
      </c>
      <c r="H63" s="2">
        <v>40.478704681450203</v>
      </c>
      <c r="I63" s="2">
        <v>22.51554616918925</v>
      </c>
      <c r="J63" s="2">
        <v>12.343071688372641</v>
      </c>
      <c r="K63" s="2">
        <f>H63+I63+J63</f>
        <v>75.337322539012092</v>
      </c>
    </row>
    <row r="64" spans="1:11" x14ac:dyDescent="0.45">
      <c r="A64" s="2" t="s">
        <v>48</v>
      </c>
      <c r="B64" s="2" t="s">
        <v>34</v>
      </c>
      <c r="C64" s="2">
        <v>0.88300000000000001</v>
      </c>
      <c r="D64" s="2">
        <v>0.96489999999999998</v>
      </c>
      <c r="E64" s="2">
        <v>2.0400000000000001E-2</v>
      </c>
      <c r="F64" s="2">
        <v>0.46389999999999998</v>
      </c>
      <c r="G64" s="2">
        <v>3.9E-2</v>
      </c>
      <c r="H64" s="2">
        <v>64.606181455633106</v>
      </c>
      <c r="I64" s="2">
        <v>13.958125623130609</v>
      </c>
      <c r="J64" s="2">
        <v>6.9790628115653037</v>
      </c>
      <c r="K64" s="2">
        <f>H64+I64+J64</f>
        <v>85.543369890329018</v>
      </c>
    </row>
    <row r="65" spans="1:11" x14ac:dyDescent="0.45">
      <c r="A65" s="2" t="s">
        <v>48</v>
      </c>
      <c r="B65" s="2" t="s">
        <v>30</v>
      </c>
      <c r="C65" s="2">
        <v>0.76900000000000002</v>
      </c>
      <c r="D65" s="2">
        <v>0.96519999999999995</v>
      </c>
      <c r="E65" s="2">
        <v>3.3999999999999998E-3</v>
      </c>
      <c r="F65" s="2">
        <v>0.14050000000000001</v>
      </c>
      <c r="G65" s="2">
        <v>6.6E-3</v>
      </c>
      <c r="H65" s="2">
        <v>31.332533013205278</v>
      </c>
      <c r="I65" s="2">
        <v>20.648259303721488</v>
      </c>
      <c r="J65" s="2">
        <v>12.725090036014411</v>
      </c>
      <c r="K65" s="2">
        <f>H65+I65+J65</f>
        <v>64.705882352941174</v>
      </c>
    </row>
  </sheetData>
  <pageMargins left="0.7" right="0.7" top="0.75" bottom="0.75" header="0.3" footer="0.3"/>
  <headerFooter>
    <oddFooter>&amp;C_x000D_&amp;1#&amp;"Aptos"&amp;12&amp;K008000 Public</oddFooter>
  </headerFooter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796D-CACE-448C-A6FF-7DDF306A459B}">
  <dimension ref="A1:AI124"/>
  <sheetViews>
    <sheetView zoomScale="75" workbookViewId="0">
      <selection activeCell="D62" sqref="D62"/>
    </sheetView>
  </sheetViews>
  <sheetFormatPr defaultRowHeight="14.5" x14ac:dyDescent="0.35"/>
  <cols>
    <col min="2" max="2" width="15.453125" customWidth="1"/>
    <col min="3" max="3" width="12.453125" customWidth="1"/>
    <col min="4" max="4" width="18.81640625" customWidth="1"/>
    <col min="5" max="5" width="18.54296875" customWidth="1"/>
    <col min="6" max="6" width="18.81640625" customWidth="1"/>
    <col min="7" max="7" width="20.1796875" customWidth="1"/>
    <col min="8" max="8" width="31.54296875" customWidth="1"/>
    <col min="9" max="9" width="54" bestFit="1" customWidth="1"/>
    <col min="10" max="10" width="16.453125" bestFit="1" customWidth="1"/>
    <col min="13" max="13" width="15.453125" customWidth="1"/>
    <col min="14" max="14" width="15" customWidth="1"/>
    <col min="15" max="15" width="18.81640625" customWidth="1"/>
    <col min="16" max="16" width="18.54296875" customWidth="1"/>
    <col min="17" max="17" width="18.81640625" customWidth="1"/>
    <col min="18" max="18" width="20.1796875" customWidth="1"/>
    <col min="19" max="19" width="21.7265625" customWidth="1"/>
    <col min="20" max="20" width="21.26953125" customWidth="1"/>
    <col min="21" max="21" width="17.7265625" customWidth="1"/>
    <col min="22" max="22" width="16.81640625" customWidth="1"/>
    <col min="24" max="24" width="15.453125" customWidth="1"/>
    <col min="25" max="25" width="12.453125" customWidth="1"/>
    <col min="26" max="26" width="18.81640625" customWidth="1"/>
    <col min="27" max="27" width="18.54296875" customWidth="1"/>
    <col min="28" max="28" width="18.81640625" customWidth="1"/>
    <col min="29" max="29" width="20.1796875" customWidth="1"/>
    <col min="30" max="30" width="21.7265625" customWidth="1"/>
    <col min="31" max="31" width="19.81640625" customWidth="1"/>
    <col min="32" max="32" width="21.26953125" customWidth="1"/>
    <col min="33" max="33" width="17.7265625" customWidth="1"/>
  </cols>
  <sheetData>
    <row r="1" spans="1:35" x14ac:dyDescent="0.35">
      <c r="A1" t="s">
        <v>49</v>
      </c>
    </row>
    <row r="2" spans="1:35" x14ac:dyDescent="0.35">
      <c r="A2" t="s">
        <v>50</v>
      </c>
      <c r="M2" t="s">
        <v>51</v>
      </c>
      <c r="Y2" t="s">
        <v>52</v>
      </c>
    </row>
    <row r="3" spans="1:35" x14ac:dyDescent="0.35">
      <c r="A3" s="1" t="s">
        <v>53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13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54</v>
      </c>
      <c r="M3" s="1" t="s">
        <v>53</v>
      </c>
      <c r="N3" s="1" t="s">
        <v>3</v>
      </c>
      <c r="O3" s="1" t="s">
        <v>4</v>
      </c>
      <c r="P3" s="1" t="s">
        <v>5</v>
      </c>
      <c r="Q3" s="1" t="s">
        <v>6</v>
      </c>
      <c r="R3" s="1" t="s">
        <v>13</v>
      </c>
      <c r="S3" s="1" t="s">
        <v>8</v>
      </c>
      <c r="T3" s="1" t="s">
        <v>9</v>
      </c>
      <c r="U3" s="1" t="s">
        <v>10</v>
      </c>
      <c r="V3" s="1" t="s">
        <v>11</v>
      </c>
      <c r="W3" s="1" t="s">
        <v>54</v>
      </c>
      <c r="Y3" s="1" t="s">
        <v>53</v>
      </c>
      <c r="Z3" s="1" t="s">
        <v>3</v>
      </c>
      <c r="AA3" s="1" t="s">
        <v>4</v>
      </c>
      <c r="AB3" s="1" t="s">
        <v>5</v>
      </c>
      <c r="AC3" s="1" t="s">
        <v>6</v>
      </c>
      <c r="AD3" s="1" t="s">
        <v>13</v>
      </c>
      <c r="AE3" s="1" t="s">
        <v>8</v>
      </c>
      <c r="AF3" s="1" t="s">
        <v>9</v>
      </c>
      <c r="AG3" s="1" t="s">
        <v>10</v>
      </c>
      <c r="AH3" s="1" t="s">
        <v>11</v>
      </c>
      <c r="AI3" s="1" t="s">
        <v>54</v>
      </c>
    </row>
    <row r="4" spans="1:35" x14ac:dyDescent="0.35">
      <c r="A4">
        <v>1</v>
      </c>
      <c r="B4">
        <v>846329</v>
      </c>
      <c r="C4">
        <v>4934</v>
      </c>
      <c r="D4">
        <v>0.58298841230774323</v>
      </c>
      <c r="E4">
        <v>57.89041417341312</v>
      </c>
      <c r="F4">
        <v>0.74623320137891758</v>
      </c>
      <c r="G4">
        <v>0.90720432701800713</v>
      </c>
      <c r="H4">
        <v>0.80019536609684794</v>
      </c>
      <c r="I4">
        <v>0.78802770810064759</v>
      </c>
      <c r="J4">
        <v>4.2256771194270612E-2</v>
      </c>
      <c r="K4">
        <f>Table30[[#This Row],[Target Rate]]/'[1]Data Preprocessing'!$C$20</f>
        <v>5.7890393652877661</v>
      </c>
      <c r="M4">
        <v>1</v>
      </c>
      <c r="N4">
        <v>183123</v>
      </c>
      <c r="O4">
        <v>2065</v>
      </c>
      <c r="P4">
        <v>1.1276573669063961</v>
      </c>
      <c r="Q4">
        <v>68.627450980392155</v>
      </c>
      <c r="R4">
        <v>0.74623327620457192</v>
      </c>
      <c r="S4">
        <v>0.90720432701800713</v>
      </c>
      <c r="T4">
        <v>0.79965989978699881</v>
      </c>
      <c r="U4">
        <v>0.78545954820574004</v>
      </c>
      <c r="V4">
        <v>4.3063036314762278E-2</v>
      </c>
      <c r="W4">
        <f>Table31[[#This Row],[Target Rate]]/'[1]Data Preprocessing'!$F$20</f>
        <v>7.3400638358039201</v>
      </c>
      <c r="Y4">
        <v>1</v>
      </c>
      <c r="Z4">
        <v>91452</v>
      </c>
      <c r="AA4">
        <v>394</v>
      </c>
      <c r="AB4">
        <v>0.43082710055548262</v>
      </c>
      <c r="AC4">
        <v>47.298919567827127</v>
      </c>
      <c r="AD4">
        <v>0.74623753638397272</v>
      </c>
      <c r="AE4">
        <v>0.90138894106475376</v>
      </c>
      <c r="AF4">
        <v>0.80031433255148199</v>
      </c>
      <c r="AG4">
        <v>0.78738822069810288</v>
      </c>
      <c r="AH4">
        <v>4.2491256312168997E-2</v>
      </c>
      <c r="AI4">
        <f>Table32[[#This Row],[Target Rate]]/'[1]Data Preprocessing'!$I$20</f>
        <v>5.2487463952908282</v>
      </c>
    </row>
    <row r="5" spans="1:35" x14ac:dyDescent="0.35">
      <c r="A5">
        <v>2</v>
      </c>
      <c r="B5">
        <v>846329</v>
      </c>
      <c r="C5">
        <v>1927</v>
      </c>
      <c r="D5">
        <v>0.22768923196534679</v>
      </c>
      <c r="E5">
        <v>22.609409832218699</v>
      </c>
      <c r="F5">
        <v>0.65357651809413664</v>
      </c>
      <c r="G5">
        <v>0.74623311504140832</v>
      </c>
      <c r="H5">
        <v>0.70624701816289626</v>
      </c>
      <c r="I5">
        <v>0.70878358878823466</v>
      </c>
      <c r="J5">
        <v>2.5675261126083131E-2</v>
      </c>
      <c r="K5">
        <f>Table30[[#This Row],[Target Rate]]/'[1]Data Preprocessing'!$C$20</f>
        <v>2.2609401817814199</v>
      </c>
      <c r="M5">
        <v>2</v>
      </c>
      <c r="N5">
        <v>202543</v>
      </c>
      <c r="O5">
        <v>597</v>
      </c>
      <c r="P5">
        <v>0.29475222545336061</v>
      </c>
      <c r="Q5">
        <v>19.84047856430708</v>
      </c>
      <c r="R5">
        <v>0.6535792051829471</v>
      </c>
      <c r="S5">
        <v>0.74623311504140832</v>
      </c>
      <c r="T5">
        <v>0.70603008514266763</v>
      </c>
      <c r="U5">
        <v>0.70780134770660419</v>
      </c>
      <c r="V5">
        <v>2.5135196898791321E-2</v>
      </c>
      <c r="W5">
        <f>Table31[[#This Row],[Target Rate]]/'[1]Data Preprocessing'!$F$20</f>
        <v>1.9185793611301105</v>
      </c>
      <c r="Y5">
        <v>2</v>
      </c>
      <c r="Z5">
        <v>105806</v>
      </c>
      <c r="AA5">
        <v>229</v>
      </c>
      <c r="AB5">
        <v>0.21643385063228929</v>
      </c>
      <c r="AC5">
        <v>27.490996398559421</v>
      </c>
      <c r="AD5">
        <v>0.65358055951856675</v>
      </c>
      <c r="AE5">
        <v>0.74623311504140832</v>
      </c>
      <c r="AF5">
        <v>0.70573607350052625</v>
      </c>
      <c r="AG5">
        <v>0.70756533057530613</v>
      </c>
      <c r="AH5">
        <v>2.5378882475732559E-2</v>
      </c>
      <c r="AI5">
        <f>Table32[[#This Row],[Target Rate]]/'[1]Data Preprocessing'!$I$20</f>
        <v>2.6368034690957081</v>
      </c>
    </row>
    <row r="6" spans="1:35" x14ac:dyDescent="0.35">
      <c r="A6">
        <v>3</v>
      </c>
      <c r="B6">
        <v>846329</v>
      </c>
      <c r="C6">
        <v>978</v>
      </c>
      <c r="D6">
        <v>0.1155578976969949</v>
      </c>
      <c r="E6">
        <v>11.47483280535023</v>
      </c>
      <c r="F6">
        <v>0.48098292358854178</v>
      </c>
      <c r="G6">
        <v>0.65357651809413664</v>
      </c>
      <c r="H6">
        <v>0.5668968452901576</v>
      </c>
      <c r="I6">
        <v>0.566270164532929</v>
      </c>
      <c r="J6">
        <v>5.0192720883253723E-2</v>
      </c>
      <c r="K6">
        <f>Table30[[#This Row],[Target Rate]]/'[1]Data Preprocessing'!$C$20</f>
        <v>1.1474828737842389</v>
      </c>
      <c r="M6">
        <v>3</v>
      </c>
      <c r="N6">
        <v>213853</v>
      </c>
      <c r="O6">
        <v>229</v>
      </c>
      <c r="P6">
        <v>0.1070829027416029</v>
      </c>
      <c r="Q6">
        <v>7.6105018278497836</v>
      </c>
      <c r="R6">
        <v>0.48098504804605979</v>
      </c>
      <c r="S6">
        <v>0.65357239820266311</v>
      </c>
      <c r="T6">
        <v>0.56187007181115689</v>
      </c>
      <c r="U6">
        <v>0.55671704391449472</v>
      </c>
      <c r="V6">
        <v>5.1520059464835261E-2</v>
      </c>
      <c r="W6">
        <f>Table31[[#This Row],[Target Rate]]/'[1]Data Preprocessing'!$F$20</f>
        <v>0.69701610162210859</v>
      </c>
      <c r="Y6">
        <v>3</v>
      </c>
      <c r="Z6">
        <v>122598</v>
      </c>
      <c r="AA6">
        <v>141</v>
      </c>
      <c r="AB6">
        <v>0.1150100327900944</v>
      </c>
      <c r="AC6">
        <v>16.926770708283311</v>
      </c>
      <c r="AD6">
        <v>0.48098707362434823</v>
      </c>
      <c r="AE6">
        <v>0.65357585421806419</v>
      </c>
      <c r="AF6">
        <v>0.5631781593124926</v>
      </c>
      <c r="AG6">
        <v>0.56083966784110684</v>
      </c>
      <c r="AH6">
        <v>5.170641299490257E-2</v>
      </c>
      <c r="AI6">
        <f>Table32[[#This Row],[Target Rate]]/'[1]Data Preprocessing'!$I$20</f>
        <v>1.4011618448583363</v>
      </c>
    </row>
    <row r="7" spans="1:35" x14ac:dyDescent="0.35">
      <c r="A7">
        <v>4</v>
      </c>
      <c r="B7">
        <v>846329</v>
      </c>
      <c r="C7">
        <v>434</v>
      </c>
      <c r="D7">
        <v>5.1280294070036592E-2</v>
      </c>
      <c r="E7">
        <v>5.0921037193476471</v>
      </c>
      <c r="F7">
        <v>0.12923951582934221</v>
      </c>
      <c r="G7">
        <v>0.48098170596089551</v>
      </c>
      <c r="H7">
        <v>0.29967999916072302</v>
      </c>
      <c r="I7">
        <v>0.30345030611998292</v>
      </c>
      <c r="J7">
        <v>0.1147247176337846</v>
      </c>
      <c r="K7">
        <f>Table30[[#This Row],[Target Rate]]/'[1]Data Preprocessing'!$C$20</f>
        <v>0.50921019143390567</v>
      </c>
      <c r="M7">
        <v>4</v>
      </c>
      <c r="N7">
        <v>165905</v>
      </c>
      <c r="O7">
        <v>87</v>
      </c>
      <c r="P7">
        <v>5.2439649196829509E-2</v>
      </c>
      <c r="Q7">
        <v>2.891326021934197</v>
      </c>
      <c r="R7">
        <v>0.12923951582934221</v>
      </c>
      <c r="S7">
        <v>0.4809827481818067</v>
      </c>
      <c r="T7">
        <v>0.35927094605965482</v>
      </c>
      <c r="U7">
        <v>0.37052003106121179</v>
      </c>
      <c r="V7">
        <v>9.5452471396608812E-2</v>
      </c>
      <c r="W7">
        <f>Table31[[#This Row],[Target Rate]]/'[1]Data Preprocessing'!$F$20</f>
        <v>0.34133628168266361</v>
      </c>
      <c r="Y7">
        <v>4</v>
      </c>
      <c r="Z7">
        <v>94760</v>
      </c>
      <c r="AA7">
        <v>59</v>
      </c>
      <c r="AB7">
        <v>6.2262558041367669E-2</v>
      </c>
      <c r="AC7">
        <v>7.0828331332533008</v>
      </c>
      <c r="AD7">
        <v>0.12923951582934221</v>
      </c>
      <c r="AE7">
        <v>0.480981951439099</v>
      </c>
      <c r="AF7">
        <v>0.34940287279566118</v>
      </c>
      <c r="AG7">
        <v>0.35686630412747561</v>
      </c>
      <c r="AH7">
        <v>0.1012699864391035</v>
      </c>
      <c r="AI7">
        <f>Table32[[#This Row],[Target Rate]]/'[1]Data Preprocessing'!$I$20</f>
        <v>0.75854182956424454</v>
      </c>
    </row>
    <row r="8" spans="1:35" x14ac:dyDescent="0.35">
      <c r="A8">
        <v>5</v>
      </c>
      <c r="B8">
        <v>846329</v>
      </c>
      <c r="C8">
        <v>117</v>
      </c>
      <c r="D8">
        <v>1.382441107418037E-2</v>
      </c>
      <c r="E8">
        <v>1.3727560718057019</v>
      </c>
      <c r="F8">
        <v>8.421872001132702E-2</v>
      </c>
      <c r="G8">
        <v>0.12923951582934221</v>
      </c>
      <c r="H8">
        <v>0.101658610311242</v>
      </c>
      <c r="I8">
        <v>9.7484730479080559E-2</v>
      </c>
      <c r="J8">
        <v>1.4368332224259111E-2</v>
      </c>
      <c r="K8">
        <f>Table30[[#This Row],[Target Rate]]/'[1]Data Preprocessing'!$C$20</f>
        <v>0.13727555852020035</v>
      </c>
      <c r="M8">
        <v>5</v>
      </c>
      <c r="N8">
        <v>115196</v>
      </c>
      <c r="O8">
        <v>6</v>
      </c>
      <c r="P8">
        <v>5.2085141845202958E-3</v>
      </c>
      <c r="Q8">
        <v>0.19940179461615151</v>
      </c>
      <c r="R8">
        <v>8.421872001132702E-2</v>
      </c>
      <c r="S8">
        <v>0.12921698715452751</v>
      </c>
      <c r="T8">
        <v>9.6209353837145725E-2</v>
      </c>
      <c r="U8">
        <v>9.1557081588651515E-2</v>
      </c>
      <c r="V8">
        <v>1.2127805128533181E-2</v>
      </c>
      <c r="W8">
        <f>Table31[[#This Row],[Target Rate]]/'[1]Data Preprocessing'!$F$20</f>
        <v>3.3902874867878741E-2</v>
      </c>
      <c r="Y8">
        <v>5</v>
      </c>
      <c r="Z8">
        <v>57207</v>
      </c>
      <c r="AA8">
        <v>3</v>
      </c>
      <c r="AB8">
        <v>5.2441134826157641E-3</v>
      </c>
      <c r="AC8">
        <v>0.36014405762304919</v>
      </c>
      <c r="AD8">
        <v>8.421872001132702E-2</v>
      </c>
      <c r="AE8">
        <v>0.12917908467131881</v>
      </c>
      <c r="AF8">
        <v>9.8014196973380485E-2</v>
      </c>
      <c r="AG8">
        <v>9.2173642271340339E-2</v>
      </c>
      <c r="AH8">
        <v>1.362907431159927E-2</v>
      </c>
      <c r="AI8">
        <f>Table32[[#This Row],[Target Rate]]/'[1]Data Preprocessing'!$I$20</f>
        <v>6.3888789035987784E-2</v>
      </c>
    </row>
    <row r="9" spans="1:35" x14ac:dyDescent="0.35">
      <c r="A9">
        <v>6</v>
      </c>
      <c r="B9">
        <v>846329</v>
      </c>
      <c r="C9">
        <v>43</v>
      </c>
      <c r="D9">
        <v>5.0807664631603083E-3</v>
      </c>
      <c r="E9">
        <v>0.50451718878329233</v>
      </c>
      <c r="F9">
        <v>6.914020985433518E-2</v>
      </c>
      <c r="G9">
        <v>8.421872001132702E-2</v>
      </c>
      <c r="H9">
        <v>7.5550100183372187E-2</v>
      </c>
      <c r="I9">
        <v>7.5226230557202914E-2</v>
      </c>
      <c r="J9">
        <v>4.108739928024443E-3</v>
      </c>
      <c r="K9">
        <f>Table30[[#This Row],[Target Rate]]/'[1]Data Preprocessing'!$C$20</f>
        <v>5.0451700994603561E-2</v>
      </c>
      <c r="M9">
        <v>6</v>
      </c>
      <c r="N9">
        <v>178510</v>
      </c>
      <c r="O9">
        <v>7</v>
      </c>
      <c r="P9">
        <v>3.9213489440367488E-3</v>
      </c>
      <c r="Q9">
        <v>0.2326354270521768</v>
      </c>
      <c r="R9">
        <v>6.914020985433518E-2</v>
      </c>
      <c r="S9">
        <v>8.4201746761930499E-2</v>
      </c>
      <c r="T9">
        <v>7.507095625449188E-2</v>
      </c>
      <c r="U9">
        <v>7.5161707913912454E-2</v>
      </c>
      <c r="V9">
        <v>3.9244468624052347E-3</v>
      </c>
      <c r="W9">
        <f>Table31[[#This Row],[Target Rate]]/'[1]Data Preprocessing'!$F$20</f>
        <v>2.552455419207245E-2</v>
      </c>
      <c r="Y9">
        <v>6</v>
      </c>
      <c r="Z9">
        <v>86388</v>
      </c>
      <c r="AA9">
        <v>0</v>
      </c>
      <c r="AB9">
        <v>0</v>
      </c>
      <c r="AC9">
        <v>0</v>
      </c>
      <c r="AD9">
        <v>6.914020985433518E-2</v>
      </c>
      <c r="AE9">
        <v>8.41768073666192E-2</v>
      </c>
      <c r="AF9">
        <v>7.4932489165907612E-2</v>
      </c>
      <c r="AG9">
        <v>7.5076264745406421E-2</v>
      </c>
      <c r="AH9">
        <v>3.8147648449765059E-3</v>
      </c>
      <c r="AI9">
        <f>Table32[[#This Row],[Target Rate]]/'[1]Data Preprocessing'!$I$20</f>
        <v>0</v>
      </c>
    </row>
    <row r="10" spans="1:35" x14ac:dyDescent="0.35">
      <c r="A10">
        <v>7</v>
      </c>
      <c r="B10">
        <v>846329</v>
      </c>
      <c r="C10">
        <v>44</v>
      </c>
      <c r="D10">
        <v>5.1989238227686868E-3</v>
      </c>
      <c r="E10">
        <v>0.51625014666197344</v>
      </c>
      <c r="F10">
        <v>6.1369421849097619E-2</v>
      </c>
      <c r="G10">
        <v>6.914020985433518E-2</v>
      </c>
      <c r="H10">
        <v>6.4274304045170358E-2</v>
      </c>
      <c r="I10">
        <v>6.4598665729286339E-2</v>
      </c>
      <c r="J10">
        <v>1.657992495862696E-3</v>
      </c>
      <c r="K10">
        <f>Table30[[#This Row],[Target Rate]]/'[1]Data Preprocessing'!$C$20</f>
        <v>5.1624996366571078E-2</v>
      </c>
      <c r="M10">
        <v>7</v>
      </c>
      <c r="N10">
        <v>224759</v>
      </c>
      <c r="O10">
        <v>13</v>
      </c>
      <c r="P10">
        <v>5.7839730555839814E-3</v>
      </c>
      <c r="Q10">
        <v>0.43203722166832842</v>
      </c>
      <c r="R10">
        <v>6.1369421849097619E-2</v>
      </c>
      <c r="S10">
        <v>6.9139811057292888E-2</v>
      </c>
      <c r="T10">
        <v>6.40862695526878E-2</v>
      </c>
      <c r="U10">
        <v>6.4598665729286339E-2</v>
      </c>
      <c r="V10">
        <v>1.500124797652236E-3</v>
      </c>
      <c r="W10">
        <f>Table31[[#This Row],[Target Rate]]/'[1]Data Preprocessing'!$F$20</f>
        <v>3.7648609141823074E-2</v>
      </c>
      <c r="Y10">
        <v>7</v>
      </c>
      <c r="Z10">
        <v>109815</v>
      </c>
      <c r="AA10">
        <v>4</v>
      </c>
      <c r="AB10">
        <v>3.6424896416700808E-3</v>
      </c>
      <c r="AC10">
        <v>0.48019207683073228</v>
      </c>
      <c r="AD10">
        <v>6.1369421849097619E-2</v>
      </c>
      <c r="AE10">
        <v>6.9139811057292888E-2</v>
      </c>
      <c r="AF10">
        <v>6.3936144971544345E-2</v>
      </c>
      <c r="AG10">
        <v>6.3764401459805178E-2</v>
      </c>
      <c r="AH10">
        <v>1.457815071744155E-3</v>
      </c>
      <c r="AI10">
        <f>Table32[[#This Row],[Target Rate]]/'[1]Data Preprocessing'!$I$20</f>
        <v>4.4376280767736677E-2</v>
      </c>
    </row>
    <row r="11" spans="1:35" x14ac:dyDescent="0.35">
      <c r="A11">
        <v>8</v>
      </c>
      <c r="B11">
        <v>846328</v>
      </c>
      <c r="C11">
        <v>30</v>
      </c>
      <c r="D11">
        <v>3.5447249766048152E-3</v>
      </c>
      <c r="E11">
        <v>0.35198873636043648</v>
      </c>
      <c r="F11">
        <v>5.7467726921859821E-2</v>
      </c>
      <c r="G11">
        <v>6.1369421849097619E-2</v>
      </c>
      <c r="H11">
        <v>5.7973993061120777E-2</v>
      </c>
      <c r="I11">
        <v>5.7467726921859821E-2</v>
      </c>
      <c r="J11">
        <v>9.7162509468691374E-4</v>
      </c>
      <c r="K11">
        <f>Table30[[#This Row],[Target Rate]]/'[1]Data Preprocessing'!$C$20</f>
        <v>3.519890274911984E-2</v>
      </c>
      <c r="M11">
        <v>8</v>
      </c>
      <c r="N11">
        <v>227894</v>
      </c>
      <c r="O11">
        <v>4</v>
      </c>
      <c r="P11">
        <v>1.755201979867833E-3</v>
      </c>
      <c r="Q11">
        <v>0.132934529744101</v>
      </c>
      <c r="R11">
        <v>5.7467726921859821E-2</v>
      </c>
      <c r="S11">
        <v>6.1303162549357602E-2</v>
      </c>
      <c r="T11">
        <v>5.7869318975327239E-2</v>
      </c>
      <c r="U11">
        <v>5.7467726921859821E-2</v>
      </c>
      <c r="V11">
        <v>9.0104200256332218E-4</v>
      </c>
      <c r="W11">
        <f>Table31[[#This Row],[Target Rate]]/'[1]Data Preprocessing'!$F$20</f>
        <v>1.1424830764244659E-2</v>
      </c>
      <c r="Y11">
        <v>8</v>
      </c>
      <c r="Z11">
        <v>114939</v>
      </c>
      <c r="AA11">
        <v>1</v>
      </c>
      <c r="AB11">
        <v>8.7002670981999139E-4</v>
      </c>
      <c r="AC11">
        <v>0.1200480192076831</v>
      </c>
      <c r="AD11">
        <v>5.7467726921859821E-2</v>
      </c>
      <c r="AE11">
        <v>6.1303162549357602E-2</v>
      </c>
      <c r="AF11">
        <v>5.7894860766925821E-2</v>
      </c>
      <c r="AG11">
        <v>5.7467726921859821E-2</v>
      </c>
      <c r="AH11">
        <v>9.1761196360748898E-4</v>
      </c>
      <c r="AI11">
        <f>Table32[[#This Row],[Target Rate]]/'[1]Data Preprocessing'!$I$20</f>
        <v>1.0599494672193519E-2</v>
      </c>
    </row>
    <row r="12" spans="1:35" x14ac:dyDescent="0.35">
      <c r="A12">
        <v>9</v>
      </c>
      <c r="B12">
        <v>846328</v>
      </c>
      <c r="C12">
        <v>13</v>
      </c>
      <c r="D12">
        <v>1.536047489862086E-3</v>
      </c>
      <c r="E12">
        <v>0.15252845242285579</v>
      </c>
      <c r="F12">
        <v>5.2018217340272663E-2</v>
      </c>
      <c r="G12">
        <v>5.7467726921859821E-2</v>
      </c>
      <c r="H12">
        <v>5.5608651942676078E-2</v>
      </c>
      <c r="I12">
        <v>5.6122608346052448E-2</v>
      </c>
      <c r="J12">
        <v>1.6841686463043371E-3</v>
      </c>
      <c r="K12">
        <f>Table30[[#This Row],[Target Rate]]/'[1]Data Preprocessing'!$C$20</f>
        <v>1.5252857857951923E-2</v>
      </c>
      <c r="M12">
        <v>9</v>
      </c>
      <c r="N12">
        <v>212141</v>
      </c>
      <c r="O12">
        <v>0</v>
      </c>
      <c r="P12">
        <v>0</v>
      </c>
      <c r="Q12">
        <v>0</v>
      </c>
      <c r="R12">
        <v>5.2018217340272663E-2</v>
      </c>
      <c r="S12">
        <v>5.7417141703715029E-2</v>
      </c>
      <c r="T12">
        <v>5.5622143831956593E-2</v>
      </c>
      <c r="U12">
        <v>5.6122608346052448E-2</v>
      </c>
      <c r="V12">
        <v>1.521829989817461E-3</v>
      </c>
      <c r="W12">
        <f>Table31[[#This Row],[Target Rate]]/'[1]Data Preprocessing'!$F$20</f>
        <v>0</v>
      </c>
      <c r="Y12">
        <v>9</v>
      </c>
      <c r="Z12">
        <v>112091</v>
      </c>
      <c r="AA12">
        <v>0</v>
      </c>
      <c r="AB12">
        <v>0</v>
      </c>
      <c r="AC12">
        <v>0</v>
      </c>
      <c r="AD12">
        <v>5.2018217340272663E-2</v>
      </c>
      <c r="AE12">
        <v>5.7417141703715029E-2</v>
      </c>
      <c r="AF12">
        <v>5.56911161601229E-2</v>
      </c>
      <c r="AG12">
        <v>5.6122608346052448E-2</v>
      </c>
      <c r="AH12">
        <v>1.473807797589677E-3</v>
      </c>
      <c r="AI12">
        <f>Table32[[#This Row],[Target Rate]]/'[1]Data Preprocessing'!$I$20</f>
        <v>0</v>
      </c>
    </row>
    <row r="13" spans="1:35" x14ac:dyDescent="0.35">
      <c r="A13">
        <v>10</v>
      </c>
      <c r="B13">
        <v>846328</v>
      </c>
      <c r="C13">
        <v>3</v>
      </c>
      <c r="D13">
        <v>3.544724976604815E-4</v>
      </c>
      <c r="E13">
        <v>3.5198873636043647E-2</v>
      </c>
      <c r="F13">
        <v>3.6761886932931302E-2</v>
      </c>
      <c r="G13">
        <v>5.2018217340272663E-2</v>
      </c>
      <c r="H13">
        <v>4.7394664020421258E-2</v>
      </c>
      <c r="I13">
        <v>4.8892835209405502E-2</v>
      </c>
      <c r="J13">
        <v>4.3095608615607572E-3</v>
      </c>
      <c r="K13">
        <f>Table30[[#This Row],[Target Rate]]/'[1]Data Preprocessing'!$C$20</f>
        <v>3.5198902749119833E-3</v>
      </c>
      <c r="M13">
        <v>10</v>
      </c>
      <c r="N13">
        <v>234672</v>
      </c>
      <c r="O13">
        <v>1</v>
      </c>
      <c r="P13">
        <v>4.2612667893911498E-4</v>
      </c>
      <c r="Q13">
        <v>3.3233632436025257E-2</v>
      </c>
      <c r="R13">
        <v>3.6761886932931302E-2</v>
      </c>
      <c r="S13">
        <v>5.1947976030180337E-2</v>
      </c>
      <c r="T13">
        <v>4.7308461679383851E-2</v>
      </c>
      <c r="U13">
        <v>4.8892835209405502E-2</v>
      </c>
      <c r="V13">
        <v>4.2743953444438071E-3</v>
      </c>
      <c r="W13">
        <f>Table31[[#This Row],[Target Rate]]/'[1]Data Preprocessing'!$F$20</f>
        <v>2.7737122261995177E-3</v>
      </c>
      <c r="Y13">
        <v>10</v>
      </c>
      <c r="Z13">
        <v>119784</v>
      </c>
      <c r="AA13">
        <v>2</v>
      </c>
      <c r="AB13">
        <v>1.669672076404194E-3</v>
      </c>
      <c r="AC13">
        <v>0.24009603841536609</v>
      </c>
      <c r="AD13">
        <v>3.6761886932931302E-2</v>
      </c>
      <c r="AE13">
        <v>5.1999506344833593E-2</v>
      </c>
      <c r="AF13">
        <v>4.7282940859942682E-2</v>
      </c>
      <c r="AG13">
        <v>4.8892835209405502E-2</v>
      </c>
      <c r="AH13">
        <v>4.2666557842260923E-3</v>
      </c>
      <c r="AI13">
        <f>Table32[[#This Row],[Target Rate]]/'[1]Data Preprocessing'!$I$20</f>
        <v>2.0341536734910352E-2</v>
      </c>
    </row>
    <row r="14" spans="1:35" x14ac:dyDescent="0.35">
      <c r="N14">
        <f>SUM(Table31[Counts])</f>
        <v>1958596</v>
      </c>
      <c r="O14">
        <f>SUM(Table31[Positive Target])</f>
        <v>3009</v>
      </c>
      <c r="P14">
        <f>Table31[[#Totals],[Positive Target]]/Table31[[#Totals],[Counts]]*100</f>
        <v>0.15363045773605175</v>
      </c>
    </row>
    <row r="15" spans="1:35" ht="18.5" x14ac:dyDescent="0.45">
      <c r="I15" s="2" t="s">
        <v>55</v>
      </c>
      <c r="J15" s="2" t="s">
        <v>56</v>
      </c>
    </row>
    <row r="16" spans="1:35" ht="18.5" x14ac:dyDescent="0.45">
      <c r="I16" s="2" t="s">
        <v>57</v>
      </c>
      <c r="J16" s="2">
        <v>0.29520000000000002</v>
      </c>
    </row>
    <row r="17" spans="1:13" ht="18.5" x14ac:dyDescent="0.45">
      <c r="I17" s="2" t="s">
        <v>58</v>
      </c>
      <c r="J17" s="2">
        <v>0.25990000000000002</v>
      </c>
    </row>
    <row r="18" spans="1:13" ht="18.5" x14ac:dyDescent="0.45">
      <c r="I18" s="2" t="s">
        <v>59</v>
      </c>
      <c r="J18" s="2">
        <v>0.1525</v>
      </c>
    </row>
    <row r="19" spans="1:13" ht="18.5" x14ac:dyDescent="0.45">
      <c r="I19" s="2" t="s">
        <v>60</v>
      </c>
      <c r="J19" s="2">
        <v>0.13059999999999999</v>
      </c>
    </row>
    <row r="20" spans="1:13" ht="18.5" x14ac:dyDescent="0.45">
      <c r="I20" s="2" t="s">
        <v>61</v>
      </c>
      <c r="J20" s="2">
        <v>8.0199999999999994E-2</v>
      </c>
    </row>
    <row r="21" spans="1:13" ht="18.5" x14ac:dyDescent="0.45">
      <c r="I21" s="2" t="s">
        <v>62</v>
      </c>
      <c r="J21" s="2">
        <v>1.84E-2</v>
      </c>
    </row>
    <row r="22" spans="1:13" ht="18.5" x14ac:dyDescent="0.45">
      <c r="I22" s="2" t="s">
        <v>63</v>
      </c>
      <c r="J22" s="2">
        <v>1.83E-2</v>
      </c>
    </row>
    <row r="23" spans="1:13" ht="18.5" x14ac:dyDescent="0.45">
      <c r="I23" s="2" t="s">
        <v>64</v>
      </c>
      <c r="J23" s="2">
        <v>1.5800000000000002E-2</v>
      </c>
    </row>
    <row r="24" spans="1:13" ht="18.5" x14ac:dyDescent="0.45">
      <c r="I24" s="2" t="s">
        <v>65</v>
      </c>
      <c r="J24" s="2">
        <v>1.3100000000000001E-2</v>
      </c>
    </row>
    <row r="25" spans="1:13" ht="18.5" x14ac:dyDescent="0.45">
      <c r="I25" s="2" t="s">
        <v>66</v>
      </c>
      <c r="J25" s="2">
        <v>7.4000000000000003E-3</v>
      </c>
    </row>
    <row r="26" spans="1:13" ht="18.5" x14ac:dyDescent="0.45">
      <c r="I26" s="2" t="s">
        <v>67</v>
      </c>
      <c r="J26" s="2">
        <v>4.8999999999999998E-3</v>
      </c>
      <c r="M26" t="s">
        <v>68</v>
      </c>
    </row>
    <row r="27" spans="1:13" ht="18.5" x14ac:dyDescent="0.45">
      <c r="I27" s="2" t="s">
        <v>69</v>
      </c>
      <c r="J27" s="2">
        <v>3.7000000000000002E-3</v>
      </c>
    </row>
    <row r="28" spans="1:13" ht="18.5" x14ac:dyDescent="0.45">
      <c r="I28" s="2" t="s">
        <v>70</v>
      </c>
      <c r="J28" s="2">
        <v>0</v>
      </c>
    </row>
    <row r="29" spans="1:13" ht="18.5" x14ac:dyDescent="0.45">
      <c r="I29" s="2" t="s">
        <v>71</v>
      </c>
      <c r="J29" s="2">
        <v>0</v>
      </c>
    </row>
    <row r="32" spans="1:13" x14ac:dyDescent="0.35">
      <c r="A32" t="s">
        <v>72</v>
      </c>
    </row>
    <row r="33" spans="1:35" x14ac:dyDescent="0.35">
      <c r="A33" t="s">
        <v>50</v>
      </c>
      <c r="M33" t="s">
        <v>51</v>
      </c>
      <c r="Y33" t="s">
        <v>52</v>
      </c>
    </row>
    <row r="34" spans="1:35" x14ac:dyDescent="0.35">
      <c r="A34" s="12" t="s">
        <v>53</v>
      </c>
      <c r="B34" s="12" t="s">
        <v>3</v>
      </c>
      <c r="C34" s="12" t="s">
        <v>4</v>
      </c>
      <c r="D34" s="12" t="s">
        <v>5</v>
      </c>
      <c r="E34" s="12" t="s">
        <v>6</v>
      </c>
      <c r="F34" s="12" t="s">
        <v>13</v>
      </c>
      <c r="G34" s="12" t="s">
        <v>8</v>
      </c>
      <c r="H34" s="12" t="s">
        <v>9</v>
      </c>
      <c r="I34" s="12" t="s">
        <v>10</v>
      </c>
      <c r="J34" s="12" t="s">
        <v>11</v>
      </c>
      <c r="K34" s="12" t="s">
        <v>54</v>
      </c>
      <c r="M34" s="12" t="s">
        <v>53</v>
      </c>
      <c r="N34" s="12" t="s">
        <v>3</v>
      </c>
      <c r="O34" s="12" t="s">
        <v>4</v>
      </c>
      <c r="P34" s="12" t="s">
        <v>5</v>
      </c>
      <c r="Q34" s="12" t="s">
        <v>6</v>
      </c>
      <c r="R34" s="12" t="s">
        <v>13</v>
      </c>
      <c r="S34" s="12" t="s">
        <v>8</v>
      </c>
      <c r="T34" s="12" t="s">
        <v>9</v>
      </c>
      <c r="U34" s="12" t="s">
        <v>10</v>
      </c>
      <c r="V34" s="12" t="s">
        <v>11</v>
      </c>
      <c r="W34" s="12" t="s">
        <v>54</v>
      </c>
      <c r="Y34" s="12" t="s">
        <v>53</v>
      </c>
      <c r="Z34" s="12" t="s">
        <v>3</v>
      </c>
      <c r="AA34" s="12" t="s">
        <v>4</v>
      </c>
      <c r="AB34" s="12" t="s">
        <v>5</v>
      </c>
      <c r="AC34" s="12" t="s">
        <v>6</v>
      </c>
      <c r="AD34" s="12" t="s">
        <v>13</v>
      </c>
      <c r="AE34" s="12" t="s">
        <v>8</v>
      </c>
      <c r="AF34" s="12" t="s">
        <v>9</v>
      </c>
      <c r="AG34" s="12" t="s">
        <v>10</v>
      </c>
      <c r="AH34" s="12" t="s">
        <v>11</v>
      </c>
      <c r="AI34" s="12" t="s">
        <v>54</v>
      </c>
    </row>
    <row r="35" spans="1:35" x14ac:dyDescent="0.35">
      <c r="A35">
        <v>1</v>
      </c>
      <c r="B35">
        <v>715209</v>
      </c>
      <c r="C35">
        <v>4161</v>
      </c>
      <c r="D35">
        <v>0.58178798085594563</v>
      </c>
      <c r="E35">
        <v>58.547910510764027</v>
      </c>
      <c r="F35">
        <v>0.74623320137891758</v>
      </c>
      <c r="G35">
        <v>0.90720432701800713</v>
      </c>
      <c r="H35">
        <v>0.8030974228804667</v>
      </c>
      <c r="I35">
        <v>0.79036712975212242</v>
      </c>
      <c r="J35">
        <v>4.3889586550201511E-2</v>
      </c>
      <c r="K35">
        <f>Table74[[#This Row],[Target Rate]]/Table74[[#Totals],[Target Rate]]</f>
        <v>4.0811129356060123</v>
      </c>
      <c r="M35">
        <v>1</v>
      </c>
      <c r="N35">
        <v>170683</v>
      </c>
      <c r="O35">
        <v>1964</v>
      </c>
      <c r="P35">
        <v>1.150671127177282</v>
      </c>
      <c r="Q35">
        <v>70.09279086366881</v>
      </c>
      <c r="R35">
        <v>0.74623327620457192</v>
      </c>
      <c r="S35">
        <v>0.90720432701800713</v>
      </c>
      <c r="T35">
        <v>0.80064477240057041</v>
      </c>
      <c r="U35">
        <v>0.78616005063161021</v>
      </c>
      <c r="V35">
        <v>4.353792449409398E-2</v>
      </c>
      <c r="W35">
        <f>Table76[[#This Row],[Target Rate]]/Table76[[#Totals],[Target Rate]]</f>
        <v>4.9751085410166969</v>
      </c>
      <c r="Y35">
        <v>1</v>
      </c>
      <c r="Z35">
        <v>85780</v>
      </c>
      <c r="AA35">
        <v>343</v>
      </c>
      <c r="AB35">
        <v>0.39986010725110738</v>
      </c>
      <c r="AC35">
        <v>46.351351351351347</v>
      </c>
      <c r="AD35">
        <v>0.74623753638397272</v>
      </c>
      <c r="AE35">
        <v>0.90138894106475376</v>
      </c>
      <c r="AF35">
        <v>0.80115082441448704</v>
      </c>
      <c r="AG35">
        <v>0.78793676766922338</v>
      </c>
      <c r="AH35">
        <v>4.2940614028342143E-2</v>
      </c>
      <c r="AI35">
        <f>Table78[[#This Row],[Target Rate]]/Table78[[#Totals],[Target Rate]]</f>
        <v>3.4606865614740405</v>
      </c>
    </row>
    <row r="36" spans="1:35" x14ac:dyDescent="0.35">
      <c r="A36">
        <v>2</v>
      </c>
      <c r="B36">
        <v>751501</v>
      </c>
      <c r="C36">
        <v>1714</v>
      </c>
      <c r="D36">
        <v>0.2280768754798729</v>
      </c>
      <c r="E36">
        <v>24.11706767975236</v>
      </c>
      <c r="F36">
        <v>0.65357707860006431</v>
      </c>
      <c r="G36">
        <v>0.74623311504140832</v>
      </c>
      <c r="H36">
        <v>0.70554922569053957</v>
      </c>
      <c r="I36">
        <v>0.70794283306010974</v>
      </c>
      <c r="J36">
        <v>2.5821698582431791E-2</v>
      </c>
      <c r="K36">
        <f>Table74[[#This Row],[Target Rate]]/Table74[[#Totals],[Target Rate]]</f>
        <v>1.5999084158873074</v>
      </c>
      <c r="M36">
        <v>2</v>
      </c>
      <c r="N36">
        <v>190863</v>
      </c>
      <c r="O36">
        <v>534</v>
      </c>
      <c r="P36">
        <v>0.27978183304254878</v>
      </c>
      <c r="Q36">
        <v>19.057815845824411</v>
      </c>
      <c r="R36">
        <v>0.6535792051829471</v>
      </c>
      <c r="S36">
        <v>0.74623311504140832</v>
      </c>
      <c r="T36">
        <v>0.7058827049562354</v>
      </c>
      <c r="U36">
        <v>0.70767008250272267</v>
      </c>
      <c r="V36">
        <v>2.515579578748724E-2</v>
      </c>
      <c r="W36">
        <f>Table76[[#This Row],[Target Rate]]/Table76[[#Totals],[Target Rate]]</f>
        <v>1.2096809890466966</v>
      </c>
      <c r="Y36">
        <v>2</v>
      </c>
      <c r="Z36">
        <v>99651</v>
      </c>
      <c r="AA36">
        <v>209</v>
      </c>
      <c r="AB36">
        <v>0.2097319645563015</v>
      </c>
      <c r="AC36">
        <v>28.243243243243239</v>
      </c>
      <c r="AD36">
        <v>0.65358055951856675</v>
      </c>
      <c r="AE36">
        <v>0.74623311504140832</v>
      </c>
      <c r="AF36">
        <v>0.70557534963581114</v>
      </c>
      <c r="AG36">
        <v>0.70753436540846681</v>
      </c>
      <c r="AH36">
        <v>2.5471493747820859E-2</v>
      </c>
      <c r="AI36">
        <f>Table78[[#This Row],[Target Rate]]/Table78[[#Totals],[Target Rate]]</f>
        <v>1.8151763031357819</v>
      </c>
    </row>
    <row r="37" spans="1:35" x14ac:dyDescent="0.35">
      <c r="A37">
        <v>3</v>
      </c>
      <c r="B37">
        <v>759288</v>
      </c>
      <c r="C37">
        <v>848</v>
      </c>
      <c r="D37">
        <v>0.1116835772460516</v>
      </c>
      <c r="E37">
        <v>11.931898128605599</v>
      </c>
      <c r="F37">
        <v>0.48098292358854178</v>
      </c>
      <c r="G37">
        <v>0.65357610611157146</v>
      </c>
      <c r="H37">
        <v>0.56985767573673507</v>
      </c>
      <c r="I37">
        <v>0.5716914625295999</v>
      </c>
      <c r="J37">
        <v>5.047526538027805E-2</v>
      </c>
      <c r="K37">
        <f>Table74[[#This Row],[Target Rate]]/Table74[[#Totals],[Target Rate]]</f>
        <v>0.78343538675899838</v>
      </c>
      <c r="M37">
        <v>3</v>
      </c>
      <c r="N37">
        <v>203831</v>
      </c>
      <c r="O37">
        <v>213</v>
      </c>
      <c r="P37">
        <v>0.1044983344044821</v>
      </c>
      <c r="Q37">
        <v>7.6017130620985016</v>
      </c>
      <c r="R37">
        <v>0.48098504804605979</v>
      </c>
      <c r="S37">
        <v>0.65357239820266311</v>
      </c>
      <c r="T37">
        <v>0.56352216635529995</v>
      </c>
      <c r="U37">
        <v>0.56019866214639291</v>
      </c>
      <c r="V37">
        <v>5.1547622889121077E-2</v>
      </c>
      <c r="W37">
        <f>Table76[[#This Row],[Target Rate]]/Table76[[#Totals],[Target Rate]]</f>
        <v>0.45181507012616567</v>
      </c>
      <c r="Y37">
        <v>3</v>
      </c>
      <c r="Z37">
        <v>116831</v>
      </c>
      <c r="AA37">
        <v>129</v>
      </c>
      <c r="AB37">
        <v>0.1104158998895841</v>
      </c>
      <c r="AC37">
        <v>17.432432432432432</v>
      </c>
      <c r="AD37">
        <v>0.48098707362434823</v>
      </c>
      <c r="AE37">
        <v>0.65357585421806419</v>
      </c>
      <c r="AF37">
        <v>0.5647930725650443</v>
      </c>
      <c r="AG37">
        <v>0.56442664913149576</v>
      </c>
      <c r="AH37">
        <v>5.1788495121780333E-2</v>
      </c>
      <c r="AI37">
        <f>Table78[[#This Row],[Target Rate]]/Table78[[#Totals],[Target Rate]]</f>
        <v>0.95562126351600041</v>
      </c>
    </row>
    <row r="38" spans="1:35" x14ac:dyDescent="0.35">
      <c r="A38">
        <v>4</v>
      </c>
      <c r="B38">
        <v>631711</v>
      </c>
      <c r="C38">
        <v>303</v>
      </c>
      <c r="D38">
        <v>4.7964971323912357E-2</v>
      </c>
      <c r="E38">
        <v>4.2634022794428033</v>
      </c>
      <c r="F38">
        <v>0.12923951582934221</v>
      </c>
      <c r="G38">
        <v>0.48098170596089551</v>
      </c>
      <c r="H38">
        <v>0.31477937095432912</v>
      </c>
      <c r="I38">
        <v>0.31980874675518139</v>
      </c>
      <c r="J38">
        <v>0.115082720867385</v>
      </c>
      <c r="K38">
        <f>Table74[[#This Row],[Target Rate]]/Table74[[#Totals],[Target Rate]]</f>
        <v>0.33646357671053229</v>
      </c>
      <c r="M38">
        <v>4</v>
      </c>
      <c r="N38">
        <v>151865</v>
      </c>
      <c r="O38">
        <v>78</v>
      </c>
      <c r="P38">
        <v>5.1361406512362949E-2</v>
      </c>
      <c r="Q38">
        <v>2.78372591006424</v>
      </c>
      <c r="R38">
        <v>0.12923951582934221</v>
      </c>
      <c r="S38">
        <v>0.4809827481818067</v>
      </c>
      <c r="T38">
        <v>0.36775111295155899</v>
      </c>
      <c r="U38">
        <v>0.379258494455322</v>
      </c>
      <c r="V38">
        <v>8.9773496729756416E-2</v>
      </c>
      <c r="W38">
        <f>Table76[[#This Row],[Target Rate]]/Table76[[#Totals],[Target Rate]]</f>
        <v>0.22206916136422583</v>
      </c>
      <c r="Y38">
        <v>4</v>
      </c>
      <c r="Z38">
        <v>87268</v>
      </c>
      <c r="AA38">
        <v>55</v>
      </c>
      <c r="AB38">
        <v>6.3024247146720447E-2</v>
      </c>
      <c r="AC38">
        <v>7.4324324324324316</v>
      </c>
      <c r="AD38">
        <v>0.12923951582934221</v>
      </c>
      <c r="AE38">
        <v>0.480981951439099</v>
      </c>
      <c r="AF38">
        <v>0.35566199745947752</v>
      </c>
      <c r="AG38">
        <v>0.36306511090867238</v>
      </c>
      <c r="AH38">
        <v>9.8457605254694214E-2</v>
      </c>
      <c r="AI38">
        <f>Table78[[#This Row],[Target Rate]]/Table78[[#Totals],[Target Rate]]</f>
        <v>0.5454586771535711</v>
      </c>
    </row>
    <row r="39" spans="1:35" x14ac:dyDescent="0.35">
      <c r="A39">
        <v>5</v>
      </c>
      <c r="B39">
        <v>307205</v>
      </c>
      <c r="C39">
        <v>33</v>
      </c>
      <c r="D39">
        <v>1.0742012662554319E-2</v>
      </c>
      <c r="E39">
        <v>0.46433094132545383</v>
      </c>
      <c r="F39">
        <v>8.421872001132702E-2</v>
      </c>
      <c r="G39">
        <v>0.12923367261311999</v>
      </c>
      <c r="H39">
        <v>0.10282881088649409</v>
      </c>
      <c r="I39">
        <v>0.1006348118928812</v>
      </c>
      <c r="J39">
        <v>1.355891120916973E-2</v>
      </c>
      <c r="K39">
        <f>Table74[[#This Row],[Target Rate]]/Table74[[#Totals],[Target Rate]]</f>
        <v>7.5352823148900558E-2</v>
      </c>
      <c r="M39">
        <v>5</v>
      </c>
      <c r="N39">
        <v>42323</v>
      </c>
      <c r="O39">
        <v>2</v>
      </c>
      <c r="P39">
        <v>4.725562932684356E-3</v>
      </c>
      <c r="Q39">
        <v>7.1377587437544618E-2</v>
      </c>
      <c r="R39">
        <v>8.421872001132702E-2</v>
      </c>
      <c r="S39">
        <v>0.12921698715452751</v>
      </c>
      <c r="T39">
        <v>9.7478205139778923E-2</v>
      </c>
      <c r="U39">
        <v>9.3321735665369041E-2</v>
      </c>
      <c r="V39">
        <v>1.2298651534392441E-2</v>
      </c>
      <c r="W39">
        <f>Table76[[#This Row],[Target Rate]]/Table76[[#Totals],[Target Rate]]</f>
        <v>2.0431718457369158E-2</v>
      </c>
      <c r="Y39">
        <v>5</v>
      </c>
      <c r="Z39">
        <v>23829</v>
      </c>
      <c r="AA39">
        <v>2</v>
      </c>
      <c r="AB39">
        <v>8.3931344160476738E-3</v>
      </c>
      <c r="AC39">
        <v>0.27027027027027029</v>
      </c>
      <c r="AD39">
        <v>8.421872001132702E-2</v>
      </c>
      <c r="AE39">
        <v>0.12917908467131881</v>
      </c>
      <c r="AF39">
        <v>0.1008702818478165</v>
      </c>
      <c r="AG39">
        <v>9.5897098945267878E-2</v>
      </c>
      <c r="AH39">
        <v>1.459101103696727E-2</v>
      </c>
      <c r="AI39">
        <f>Table78[[#This Row],[Target Rate]]/Table78[[#Totals],[Target Rate]]</f>
        <v>7.2640423376920935E-2</v>
      </c>
    </row>
    <row r="40" spans="1:35" x14ac:dyDescent="0.35">
      <c r="A40">
        <v>6</v>
      </c>
      <c r="B40">
        <v>541984</v>
      </c>
      <c r="C40">
        <v>24</v>
      </c>
      <c r="D40">
        <v>4.4281750014760583E-3</v>
      </c>
      <c r="E40">
        <v>0.33769523005487551</v>
      </c>
      <c r="F40">
        <v>6.914020985433518E-2</v>
      </c>
      <c r="G40">
        <v>8.4207125773877997E-2</v>
      </c>
      <c r="H40">
        <v>7.4597099006762868E-2</v>
      </c>
      <c r="I40">
        <v>7.4560662737737482E-2</v>
      </c>
      <c r="J40">
        <v>4.0303855726807327E-3</v>
      </c>
      <c r="K40">
        <f>Table74[[#This Row],[Target Rate]]/Table74[[#Totals],[Target Rate]]</f>
        <v>3.1062660065722166E-2</v>
      </c>
      <c r="M40">
        <v>6</v>
      </c>
      <c r="N40">
        <v>122839</v>
      </c>
      <c r="O40">
        <v>4</v>
      </c>
      <c r="P40">
        <v>3.2562948249334491E-3</v>
      </c>
      <c r="Q40">
        <v>0.14275517487508921</v>
      </c>
      <c r="R40">
        <v>6.914020985433518E-2</v>
      </c>
      <c r="S40">
        <v>8.4201746761930499E-2</v>
      </c>
      <c r="T40">
        <v>7.4338449307811402E-2</v>
      </c>
      <c r="U40">
        <v>7.4560662737737482E-2</v>
      </c>
      <c r="V40">
        <v>3.9745678615088877E-3</v>
      </c>
      <c r="W40">
        <f>Table76[[#This Row],[Target Rate]]/Table76[[#Totals],[Target Rate]]</f>
        <v>1.4079105500227692E-2</v>
      </c>
      <c r="Y40">
        <v>6</v>
      </c>
      <c r="Z40">
        <v>60247</v>
      </c>
      <c r="AA40">
        <v>0</v>
      </c>
      <c r="AB40">
        <v>0</v>
      </c>
      <c r="AC40">
        <v>0</v>
      </c>
      <c r="AD40">
        <v>6.914020985433518E-2</v>
      </c>
      <c r="AE40">
        <v>8.41768073666192E-2</v>
      </c>
      <c r="AF40">
        <v>7.4341647375615966E-2</v>
      </c>
      <c r="AG40">
        <v>7.4560662737737482E-2</v>
      </c>
      <c r="AH40">
        <v>3.9873617011665068E-3</v>
      </c>
      <c r="AI40">
        <f>Table78[[#This Row],[Target Rate]]/Table78[[#Totals],[Target Rate]]</f>
        <v>0</v>
      </c>
    </row>
    <row r="41" spans="1:35" x14ac:dyDescent="0.35">
      <c r="A41">
        <v>7</v>
      </c>
      <c r="B41">
        <v>243820</v>
      </c>
      <c r="C41">
        <v>9</v>
      </c>
      <c r="D41">
        <v>3.691247641702896E-3</v>
      </c>
      <c r="E41">
        <v>0.12663571127057829</v>
      </c>
      <c r="F41">
        <v>6.1369421849097619E-2</v>
      </c>
      <c r="G41">
        <v>6.9139811057292888E-2</v>
      </c>
      <c r="H41">
        <v>6.464287558344084E-2</v>
      </c>
      <c r="I41">
        <v>6.4046075590642806E-2</v>
      </c>
      <c r="J41">
        <v>2.0595142995820191E-3</v>
      </c>
      <c r="K41">
        <f>Table74[[#This Row],[Target Rate]]/Table74[[#Totals],[Target Rate]]</f>
        <v>2.5893278986127623E-2</v>
      </c>
      <c r="M41">
        <v>7</v>
      </c>
      <c r="N41">
        <v>65711</v>
      </c>
      <c r="O41">
        <v>6</v>
      </c>
      <c r="P41">
        <v>9.1308913271750548E-3</v>
      </c>
      <c r="Q41">
        <v>0.21413276231263381</v>
      </c>
      <c r="R41">
        <v>6.1369421849097619E-2</v>
      </c>
      <c r="S41">
        <v>6.9139811057292888E-2</v>
      </c>
      <c r="T41">
        <v>6.4390174855281535E-2</v>
      </c>
      <c r="U41">
        <v>6.387677155785898E-2</v>
      </c>
      <c r="V41">
        <v>2.0139191647338042E-3</v>
      </c>
      <c r="W41">
        <f>Table76[[#This Row],[Target Rate]]/Table76[[#Totals],[Target Rate]]</f>
        <v>3.9478852259343257E-2</v>
      </c>
      <c r="Y41">
        <v>7</v>
      </c>
      <c r="Z41">
        <v>32864</v>
      </c>
      <c r="AA41">
        <v>0</v>
      </c>
      <c r="AB41">
        <v>0</v>
      </c>
      <c r="AC41">
        <v>0</v>
      </c>
      <c r="AD41">
        <v>6.1369421849097619E-2</v>
      </c>
      <c r="AE41">
        <v>6.9139811057292888E-2</v>
      </c>
      <c r="AF41">
        <v>6.4310821208186278E-2</v>
      </c>
      <c r="AG41">
        <v>6.3672033095355088E-2</v>
      </c>
      <c r="AH41">
        <v>1.969213513387494E-3</v>
      </c>
      <c r="AI41">
        <f>Table78[[#This Row],[Target Rate]]/Table78[[#Totals],[Target Rate]]</f>
        <v>0</v>
      </c>
    </row>
    <row r="42" spans="1:35" x14ac:dyDescent="0.35">
      <c r="A42">
        <v>8</v>
      </c>
      <c r="B42">
        <v>91168</v>
      </c>
      <c r="C42">
        <v>3</v>
      </c>
      <c r="D42">
        <v>3.2906282906282908E-3</v>
      </c>
      <c r="E42">
        <v>4.2211903756859431E-2</v>
      </c>
      <c r="F42">
        <v>5.7478746062944903E-2</v>
      </c>
      <c r="G42">
        <v>6.1318310775879577E-2</v>
      </c>
      <c r="H42">
        <v>5.8918591030210597E-2</v>
      </c>
      <c r="I42">
        <v>5.8486437655469743E-2</v>
      </c>
      <c r="J42">
        <v>1.138088717881517E-3</v>
      </c>
      <c r="K42">
        <f>Table74[[#This Row],[Target Rate]]/Table74[[#Totals],[Target Rate]]</f>
        <v>2.3083023584289944E-2</v>
      </c>
      <c r="M42">
        <v>8</v>
      </c>
      <c r="N42">
        <v>17516</v>
      </c>
      <c r="O42">
        <v>0</v>
      </c>
      <c r="P42">
        <v>0</v>
      </c>
      <c r="Q42">
        <v>0</v>
      </c>
      <c r="R42">
        <v>5.7478746062944903E-2</v>
      </c>
      <c r="S42">
        <v>6.1226458904804673E-2</v>
      </c>
      <c r="T42">
        <v>5.9288872427554443E-2</v>
      </c>
      <c r="U42">
        <v>5.9203804636564668E-2</v>
      </c>
      <c r="V42">
        <v>1.13680521709768E-3</v>
      </c>
      <c r="W42">
        <f>Table76[[#This Row],[Target Rate]]/Table76[[#Totals],[Target Rate]]</f>
        <v>0</v>
      </c>
      <c r="Y42">
        <v>8</v>
      </c>
      <c r="Z42">
        <v>8867</v>
      </c>
      <c r="AA42">
        <v>0</v>
      </c>
      <c r="AB42">
        <v>0</v>
      </c>
      <c r="AC42">
        <v>0</v>
      </c>
      <c r="AD42">
        <v>5.7478746062944903E-2</v>
      </c>
      <c r="AE42">
        <v>6.1226458904804673E-2</v>
      </c>
      <c r="AF42">
        <v>5.9349889797168688E-2</v>
      </c>
      <c r="AG42">
        <v>5.9442607955259137E-2</v>
      </c>
      <c r="AH42">
        <v>1.120495308615609E-3</v>
      </c>
      <c r="AI42">
        <f>Table78[[#This Row],[Target Rate]]/Table78[[#Totals],[Target Rate]]</f>
        <v>0</v>
      </c>
    </row>
    <row r="43" spans="1:35" x14ac:dyDescent="0.35">
      <c r="A43">
        <v>9</v>
      </c>
      <c r="B43">
        <v>290087</v>
      </c>
      <c r="C43">
        <v>9</v>
      </c>
      <c r="D43">
        <v>3.1025175206058869E-3</v>
      </c>
      <c r="E43">
        <v>0.12663571127057829</v>
      </c>
      <c r="F43">
        <v>5.2018217340272663E-2</v>
      </c>
      <c r="G43">
        <v>5.7417141703715029E-2</v>
      </c>
      <c r="H43">
        <v>5.3920547724297427E-2</v>
      </c>
      <c r="I43">
        <v>5.3977177468496021E-2</v>
      </c>
      <c r="J43">
        <v>1.907051240012923E-3</v>
      </c>
      <c r="K43">
        <f>Table74[[#This Row],[Target Rate]]/Table74[[#Totals],[Target Rate]]</f>
        <v>2.1763468484963598E-2</v>
      </c>
      <c r="M43">
        <v>9</v>
      </c>
      <c r="N43">
        <v>65514</v>
      </c>
      <c r="O43">
        <v>0</v>
      </c>
      <c r="P43">
        <v>0</v>
      </c>
      <c r="Q43">
        <v>0</v>
      </c>
      <c r="R43">
        <v>5.2018217340272663E-2</v>
      </c>
      <c r="S43">
        <v>5.7417141703715029E-2</v>
      </c>
      <c r="T43">
        <v>5.4116485409350143E-2</v>
      </c>
      <c r="U43">
        <v>5.4103297195533043E-2</v>
      </c>
      <c r="V43">
        <v>1.9869072679285929E-3</v>
      </c>
      <c r="W43">
        <f>Table76[[#This Row],[Target Rate]]/Table76[[#Totals],[Target Rate]]</f>
        <v>0</v>
      </c>
      <c r="Y43">
        <v>9</v>
      </c>
      <c r="Z43">
        <v>33189</v>
      </c>
      <c r="AA43">
        <v>0</v>
      </c>
      <c r="AB43">
        <v>0</v>
      </c>
      <c r="AC43">
        <v>0</v>
      </c>
      <c r="AD43">
        <v>5.2018217340272663E-2</v>
      </c>
      <c r="AE43">
        <v>5.7417141703715029E-2</v>
      </c>
      <c r="AF43">
        <v>5.4239108039107843E-2</v>
      </c>
      <c r="AG43">
        <v>5.4284122455738451E-2</v>
      </c>
      <c r="AH43">
        <v>2.0156803881806839E-3</v>
      </c>
      <c r="AI43">
        <f>Table78[[#This Row],[Target Rate]]/Table78[[#Totals],[Target Rate]]</f>
        <v>0</v>
      </c>
    </row>
    <row r="44" spans="1:35" x14ac:dyDescent="0.35">
      <c r="A44">
        <v>10</v>
      </c>
      <c r="B44">
        <v>653429</v>
      </c>
      <c r="C44">
        <v>3</v>
      </c>
      <c r="D44">
        <v>4.5911644570412392E-4</v>
      </c>
      <c r="E44">
        <v>4.2211903756859431E-2</v>
      </c>
      <c r="F44">
        <v>3.6761886932931302E-2</v>
      </c>
      <c r="G44">
        <v>5.1947976030180337E-2</v>
      </c>
      <c r="H44">
        <v>4.7541155524231993E-2</v>
      </c>
      <c r="I44">
        <v>4.8892835209405502E-2</v>
      </c>
      <c r="J44">
        <v>4.7864531948772484E-3</v>
      </c>
      <c r="K44">
        <f>Table74[[#This Row],[Target Rate]]/Table74[[#Totals],[Target Rate]]</f>
        <v>3.2205994746675542E-3</v>
      </c>
      <c r="M44">
        <v>10</v>
      </c>
      <c r="N44">
        <v>180344</v>
      </c>
      <c r="O44">
        <v>1</v>
      </c>
      <c r="P44">
        <v>5.5449585237102425E-4</v>
      </c>
      <c r="Q44">
        <v>3.5688793718772309E-2</v>
      </c>
      <c r="R44">
        <v>3.6761886932931302E-2</v>
      </c>
      <c r="S44">
        <v>5.1947976030180337E-2</v>
      </c>
      <c r="T44">
        <v>4.7480345709213979E-2</v>
      </c>
      <c r="U44">
        <v>4.8892835209405502E-2</v>
      </c>
      <c r="V44">
        <v>4.7813032507062411E-3</v>
      </c>
      <c r="W44">
        <f>Table76[[#This Row],[Target Rate]]/Table76[[#Totals],[Target Rate]]</f>
        <v>2.3974504842723763E-3</v>
      </c>
      <c r="Y44">
        <v>10</v>
      </c>
      <c r="Z44">
        <v>91925</v>
      </c>
      <c r="AA44">
        <v>2</v>
      </c>
      <c r="AB44">
        <v>2.1756867011150389E-3</v>
      </c>
      <c r="AC44">
        <v>0.27027027027027029</v>
      </c>
      <c r="AD44">
        <v>3.6761886932931302E-2</v>
      </c>
      <c r="AE44">
        <v>5.1947976030180337E-2</v>
      </c>
      <c r="AF44">
        <v>4.7492490317423079E-2</v>
      </c>
      <c r="AG44">
        <v>4.8892835209405502E-2</v>
      </c>
      <c r="AH44">
        <v>4.7808364144691622E-3</v>
      </c>
      <c r="AI44">
        <f>Table78[[#This Row],[Target Rate]]/Table78[[#Totals],[Target Rate]]</f>
        <v>1.8830009775889566E-2</v>
      </c>
    </row>
    <row r="45" spans="1:35" x14ac:dyDescent="0.35">
      <c r="B45">
        <f>SUM(Table74[Counts])</f>
        <v>4985402</v>
      </c>
      <c r="C45">
        <f>SUM(Table74[Positive Target])</f>
        <v>7107</v>
      </c>
      <c r="D45">
        <f>Table74[[#Totals],[Positive Target]]/Table74[[#Totals],[Counts]]*100</f>
        <v>0.14255620710225575</v>
      </c>
      <c r="N45">
        <f>SUM(Table76[Counts])</f>
        <v>1211489</v>
      </c>
      <c r="O45">
        <f>SUM(Table76[Positive Target])</f>
        <v>2802</v>
      </c>
      <c r="P45">
        <f>Table76[[#Totals],[Positive Target]]/Table76[[#Totals],[Counts]]*100</f>
        <v>0.23128563280392969</v>
      </c>
      <c r="Z45">
        <f>SUM(Table78[Counts])</f>
        <v>640451</v>
      </c>
      <c r="AA45">
        <f>SUM(Table78[Positive Target])</f>
        <v>740</v>
      </c>
      <c r="AB45">
        <f>Table78[[#Totals],[Positive Target]]/Table78[[#Totals],[Counts]]*100</f>
        <v>0.11554357788495918</v>
      </c>
    </row>
    <row r="46" spans="1:35" x14ac:dyDescent="0.35">
      <c r="A46" t="s">
        <v>73</v>
      </c>
    </row>
    <row r="47" spans="1:35" x14ac:dyDescent="0.35">
      <c r="A47" t="s">
        <v>50</v>
      </c>
      <c r="M47" t="s">
        <v>51</v>
      </c>
      <c r="Y47" t="s">
        <v>52</v>
      </c>
    </row>
    <row r="48" spans="1:35" x14ac:dyDescent="0.35">
      <c r="A48" s="12" t="s">
        <v>53</v>
      </c>
      <c r="B48" s="12" t="s">
        <v>3</v>
      </c>
      <c r="C48" s="12" t="s">
        <v>4</v>
      </c>
      <c r="D48" s="12" t="s">
        <v>5</v>
      </c>
      <c r="E48" s="12" t="s">
        <v>6</v>
      </c>
      <c r="F48" s="12" t="s">
        <v>13</v>
      </c>
      <c r="G48" s="12" t="s">
        <v>8</v>
      </c>
      <c r="H48" s="12" t="s">
        <v>9</v>
      </c>
      <c r="I48" s="12" t="s">
        <v>10</v>
      </c>
      <c r="J48" s="12" t="s">
        <v>11</v>
      </c>
      <c r="K48" s="12" t="s">
        <v>54</v>
      </c>
      <c r="M48" s="12" t="s">
        <v>53</v>
      </c>
      <c r="N48" s="12" t="s">
        <v>3</v>
      </c>
      <c r="O48" s="12" t="s">
        <v>4</v>
      </c>
      <c r="P48" s="12" t="s">
        <v>5</v>
      </c>
      <c r="Q48" s="12" t="s">
        <v>6</v>
      </c>
      <c r="R48" s="12" t="s">
        <v>13</v>
      </c>
      <c r="S48" s="12" t="s">
        <v>8</v>
      </c>
      <c r="T48" s="12" t="s">
        <v>9</v>
      </c>
      <c r="U48" s="12" t="s">
        <v>10</v>
      </c>
      <c r="V48" s="12" t="s">
        <v>11</v>
      </c>
      <c r="W48" s="12" t="s">
        <v>54</v>
      </c>
      <c r="Y48" s="12" t="s">
        <v>53</v>
      </c>
      <c r="Z48" s="12" t="s">
        <v>3</v>
      </c>
      <c r="AA48" s="12" t="s">
        <v>4</v>
      </c>
      <c r="AB48" s="12" t="s">
        <v>5</v>
      </c>
      <c r="AC48" s="12" t="s">
        <v>6</v>
      </c>
      <c r="AD48" s="12" t="s">
        <v>13</v>
      </c>
      <c r="AE48" s="12" t="s">
        <v>8</v>
      </c>
      <c r="AF48" s="12" t="s">
        <v>9</v>
      </c>
      <c r="AG48" s="12" t="s">
        <v>10</v>
      </c>
      <c r="AH48" s="12" t="s">
        <v>11</v>
      </c>
      <c r="AI48" s="12" t="s">
        <v>54</v>
      </c>
    </row>
    <row r="49" spans="1:35" x14ac:dyDescent="0.35">
      <c r="A49">
        <v>1</v>
      </c>
      <c r="B49">
        <v>131120</v>
      </c>
      <c r="C49">
        <v>773</v>
      </c>
      <c r="D49">
        <v>0.58953630262355095</v>
      </c>
      <c r="E49">
        <v>54.590395480225993</v>
      </c>
      <c r="F49">
        <v>0.74623463201740869</v>
      </c>
      <c r="G49">
        <v>0.89608363650351719</v>
      </c>
      <c r="H49">
        <v>0.78436576626344912</v>
      </c>
      <c r="I49">
        <v>0.78108296783424891</v>
      </c>
      <c r="J49">
        <v>2.6867725359424079E-2</v>
      </c>
      <c r="K49">
        <f>Table75[[#This Row],[Target Rate]]/Table75[[#Totals],[Target Rate]]</f>
        <v>14.479798473516302</v>
      </c>
      <c r="M49">
        <v>1</v>
      </c>
      <c r="N49">
        <v>12440</v>
      </c>
      <c r="O49">
        <v>101</v>
      </c>
      <c r="P49">
        <v>0.81189710610932475</v>
      </c>
      <c r="Q49">
        <v>48.792270531400973</v>
      </c>
      <c r="R49">
        <v>0.74625420449191171</v>
      </c>
      <c r="S49">
        <v>0.89608363650351719</v>
      </c>
      <c r="T49">
        <v>0.78614695667588375</v>
      </c>
      <c r="U49">
        <v>0.77863684919141951</v>
      </c>
      <c r="V49">
        <v>3.3080842131706728E-2</v>
      </c>
      <c r="W49">
        <f>Table77[[#This Row],[Target Rate]]/Table77[[#Totals],[Target Rate]]</f>
        <v>29.303092331112044</v>
      </c>
      <c r="Y49">
        <v>1</v>
      </c>
      <c r="Z49">
        <v>5672</v>
      </c>
      <c r="AA49">
        <v>51</v>
      </c>
      <c r="AB49">
        <v>0.89915373765867423</v>
      </c>
      <c r="AC49">
        <v>54.838709677419352</v>
      </c>
      <c r="AD49">
        <v>0.74625404822484365</v>
      </c>
      <c r="AE49">
        <v>0.89177135656365625</v>
      </c>
      <c r="AF49">
        <v>0.7876637204202066</v>
      </c>
      <c r="AG49">
        <v>0.78134816193309264</v>
      </c>
      <c r="AH49">
        <v>3.2473059622614008E-2</v>
      </c>
      <c r="AI49">
        <f>Table79[[#This Row],[Target Rate]]/Table79[[#Totals],[Target Rate]]</f>
        <v>36.197125665407896</v>
      </c>
    </row>
    <row r="50" spans="1:35" x14ac:dyDescent="0.35">
      <c r="A50">
        <v>2</v>
      </c>
      <c r="B50">
        <v>94841</v>
      </c>
      <c r="C50">
        <v>213</v>
      </c>
      <c r="D50">
        <v>0.22458641304920871</v>
      </c>
      <c r="E50">
        <v>15.042372881355931</v>
      </c>
      <c r="F50">
        <v>0.65357651809413664</v>
      </c>
      <c r="G50">
        <v>0.74623262063403673</v>
      </c>
      <c r="H50">
        <v>0.71176896567786674</v>
      </c>
      <c r="I50">
        <v>0.71475232512117848</v>
      </c>
      <c r="J50">
        <v>2.377836895407958E-2</v>
      </c>
      <c r="K50">
        <f>Table75[[#This Row],[Target Rate]]/Table75[[#Totals],[Target Rate]]</f>
        <v>5.5161420702517461</v>
      </c>
      <c r="M50">
        <v>2</v>
      </c>
      <c r="N50">
        <v>11680</v>
      </c>
      <c r="O50">
        <v>63</v>
      </c>
      <c r="P50">
        <v>0.53938356164383561</v>
      </c>
      <c r="Q50">
        <v>30.434782608695659</v>
      </c>
      <c r="R50">
        <v>0.65358473616129142</v>
      </c>
      <c r="S50">
        <v>0.7462247283442387</v>
      </c>
      <c r="T50">
        <v>0.70843842628333542</v>
      </c>
      <c r="U50">
        <v>0.70923140472730395</v>
      </c>
      <c r="V50">
        <v>2.4672798769165179E-2</v>
      </c>
      <c r="W50">
        <f>Table77[[#This Row],[Target Rate]]/Table77[[#Totals],[Target Rate]]</f>
        <v>19.467499255509232</v>
      </c>
      <c r="Y50">
        <v>2</v>
      </c>
      <c r="Z50">
        <v>6155</v>
      </c>
      <c r="AA50">
        <v>20</v>
      </c>
      <c r="AB50">
        <v>0.3249390739236393</v>
      </c>
      <c r="AC50">
        <v>21.50537634408602</v>
      </c>
      <c r="AD50">
        <v>0.6536348928028346</v>
      </c>
      <c r="AE50">
        <v>0.74618972186426391</v>
      </c>
      <c r="AF50">
        <v>0.70833823334499779</v>
      </c>
      <c r="AG50">
        <v>0.70882139756931528</v>
      </c>
      <c r="AH50">
        <v>2.3680055636901891E-2</v>
      </c>
      <c r="AI50">
        <f>Table79[[#This Row],[Target Rate]]/Table79[[#Totals],[Target Rate]]</f>
        <v>13.081033865290042</v>
      </c>
    </row>
    <row r="51" spans="1:35" x14ac:dyDescent="0.35">
      <c r="A51">
        <v>3</v>
      </c>
      <c r="B51">
        <v>87028</v>
      </c>
      <c r="C51">
        <v>130</v>
      </c>
      <c r="D51">
        <v>0.1493772119317921</v>
      </c>
      <c r="E51">
        <v>9.1807909604519775</v>
      </c>
      <c r="F51">
        <v>0.48098326238901012</v>
      </c>
      <c r="G51">
        <v>0.65357068119065109</v>
      </c>
      <c r="H51">
        <v>0.54105171655150364</v>
      </c>
      <c r="I51">
        <v>0.53207194482068298</v>
      </c>
      <c r="J51">
        <v>3.9063654993916633E-2</v>
      </c>
      <c r="K51">
        <f>Table75[[#This Row],[Target Rate]]/Table75[[#Totals],[Target Rate]]</f>
        <v>3.6689037056454854</v>
      </c>
      <c r="M51">
        <v>3</v>
      </c>
      <c r="N51">
        <v>10022</v>
      </c>
      <c r="O51">
        <v>16</v>
      </c>
      <c r="P51">
        <v>0.15964877270005989</v>
      </c>
      <c r="Q51">
        <v>7.7294685990338161</v>
      </c>
      <c r="R51">
        <v>0.48130435276553069</v>
      </c>
      <c r="S51">
        <v>0.65357068119065109</v>
      </c>
      <c r="T51">
        <v>0.52826918545841139</v>
      </c>
      <c r="U51">
        <v>0.5165552304846257</v>
      </c>
      <c r="V51">
        <v>3.757854589619828E-2</v>
      </c>
      <c r="W51">
        <f>Table77[[#This Row],[Target Rate]]/Table77[[#Totals],[Target Rate]]</f>
        <v>5.7620635567934126</v>
      </c>
      <c r="Y51">
        <v>3</v>
      </c>
      <c r="Z51">
        <v>5767</v>
      </c>
      <c r="AA51">
        <v>12</v>
      </c>
      <c r="AB51">
        <v>0.20808045777700709</v>
      </c>
      <c r="AC51">
        <v>12.90322580645161</v>
      </c>
      <c r="AD51">
        <v>0.48104226576917247</v>
      </c>
      <c r="AE51">
        <v>0.65357068119065109</v>
      </c>
      <c r="AF51">
        <v>0.53046237463954893</v>
      </c>
      <c r="AG51">
        <v>0.52151368932139586</v>
      </c>
      <c r="AH51">
        <v>3.7128694756735151E-2</v>
      </c>
      <c r="AI51">
        <f>Table79[[#This Row],[Target Rate]]/Table79[[#Totals],[Target Rate]]</f>
        <v>8.3766703770619255</v>
      </c>
    </row>
    <row r="52" spans="1:35" x14ac:dyDescent="0.35">
      <c r="A52">
        <v>4</v>
      </c>
      <c r="B52">
        <v>215027</v>
      </c>
      <c r="C52">
        <v>131</v>
      </c>
      <c r="D52">
        <v>6.0922581815306923E-2</v>
      </c>
      <c r="E52">
        <v>9.2514124293785311</v>
      </c>
      <c r="F52">
        <v>0.12924365587724421</v>
      </c>
      <c r="G52">
        <v>0.48078685884039313</v>
      </c>
      <c r="H52">
        <v>0.25499654353518231</v>
      </c>
      <c r="I52">
        <v>0.2289667978323377</v>
      </c>
      <c r="J52">
        <v>0.1014096724192913</v>
      </c>
      <c r="K52">
        <f>Table75[[#This Row],[Target Rate]]/Table75[[#Totals],[Target Rate]]</f>
        <v>1.4963399255418695</v>
      </c>
      <c r="M52">
        <v>4</v>
      </c>
      <c r="N52">
        <v>14040</v>
      </c>
      <c r="O52">
        <v>9</v>
      </c>
      <c r="P52">
        <v>6.4102564102564097E-2</v>
      </c>
      <c r="Q52">
        <v>4.3478260869565224</v>
      </c>
      <c r="R52">
        <v>0.12927189990940141</v>
      </c>
      <c r="S52">
        <v>0.48088121251012772</v>
      </c>
      <c r="T52">
        <v>0.26754441151271408</v>
      </c>
      <c r="U52">
        <v>0.23680542216924791</v>
      </c>
      <c r="V52">
        <v>0.10629298160005481</v>
      </c>
      <c r="W52">
        <f>Table77[[#This Row],[Target Rate]]/Table77[[#Totals],[Target Rate]]</f>
        <v>2.3135977951195339</v>
      </c>
      <c r="Y52">
        <v>4</v>
      </c>
      <c r="Z52">
        <v>7492</v>
      </c>
      <c r="AA52">
        <v>4</v>
      </c>
      <c r="AB52">
        <v>5.3390282968499729E-2</v>
      </c>
      <c r="AC52">
        <v>4.3010752688172049</v>
      </c>
      <c r="AD52">
        <v>0.1293444184376572</v>
      </c>
      <c r="AE52">
        <v>0.48041595121654329</v>
      </c>
      <c r="AF52">
        <v>0.27649559954927461</v>
      </c>
      <c r="AG52">
        <v>0.2661575499389896</v>
      </c>
      <c r="AH52">
        <v>0.1050147095146341</v>
      </c>
      <c r="AI52">
        <f>Table79[[#This Row],[Target Rate]]/Table79[[#Totals],[Target Rate]]</f>
        <v>2.1493263064831876</v>
      </c>
    </row>
    <row r="53" spans="1:35" x14ac:dyDescent="0.35">
      <c r="A53">
        <v>5</v>
      </c>
      <c r="B53">
        <v>544953</v>
      </c>
      <c r="C53">
        <v>85</v>
      </c>
      <c r="D53">
        <v>1.5597675395859829E-2</v>
      </c>
      <c r="E53">
        <v>6.0028248587570623</v>
      </c>
      <c r="F53">
        <v>8.4221097905356992E-2</v>
      </c>
      <c r="G53">
        <v>0.1292380187636914</v>
      </c>
      <c r="H53">
        <v>0.1007786039735063</v>
      </c>
      <c r="I53">
        <v>9.4415083136327543E-2</v>
      </c>
      <c r="J53">
        <v>1.4776615129348639E-2</v>
      </c>
      <c r="K53">
        <f>Table75[[#This Row],[Target Rate]]/Table75[[#Totals],[Target Rate]]</f>
        <v>0.38309972665346015</v>
      </c>
      <c r="M53">
        <v>5</v>
      </c>
      <c r="N53">
        <v>72873</v>
      </c>
      <c r="O53">
        <v>4</v>
      </c>
      <c r="P53">
        <v>5.4890014134178636E-3</v>
      </c>
      <c r="Q53">
        <v>1.932367149758454</v>
      </c>
      <c r="R53">
        <v>8.4221097905356992E-2</v>
      </c>
      <c r="S53">
        <v>0.12910858939119549</v>
      </c>
      <c r="T53">
        <v>9.547243352809652E-2</v>
      </c>
      <c r="U53">
        <v>8.9941644423921691E-2</v>
      </c>
      <c r="V53">
        <v>1.196594755313439E-2</v>
      </c>
      <c r="W53">
        <f>Table77[[#This Row],[Target Rate]]/Table77[[#Totals],[Target Rate]]</f>
        <v>0.19810972845286859</v>
      </c>
      <c r="Y53">
        <v>5</v>
      </c>
      <c r="Z53">
        <v>33378</v>
      </c>
      <c r="AA53">
        <v>1</v>
      </c>
      <c r="AB53">
        <v>2.995985379591348E-3</v>
      </c>
      <c r="AC53">
        <v>1.075268817204301</v>
      </c>
      <c r="AD53">
        <v>8.4221097905356992E-2</v>
      </c>
      <c r="AE53">
        <v>0.12910858939119549</v>
      </c>
      <c r="AF53">
        <v>9.597519983535735E-2</v>
      </c>
      <c r="AG53">
        <v>9.0765781973269108E-2</v>
      </c>
      <c r="AH53">
        <v>1.2505849057569129E-2</v>
      </c>
      <c r="AI53">
        <f>Table79[[#This Row],[Target Rate]]/Table79[[#Totals],[Target Rate]]</f>
        <v>0.1206090290623468</v>
      </c>
    </row>
    <row r="54" spans="1:35" x14ac:dyDescent="0.35">
      <c r="A54">
        <v>6</v>
      </c>
      <c r="B54">
        <v>303902</v>
      </c>
      <c r="C54">
        <v>18</v>
      </c>
      <c r="D54">
        <v>5.922962007489257E-3</v>
      </c>
      <c r="E54">
        <v>1.271186440677966</v>
      </c>
      <c r="F54">
        <v>6.9211329922871725E-2</v>
      </c>
      <c r="G54">
        <v>8.4170640917143352E-2</v>
      </c>
      <c r="H54">
        <v>7.6949535609134007E-2</v>
      </c>
      <c r="I54">
        <v>7.7315207642735237E-2</v>
      </c>
      <c r="J54">
        <v>3.7022454099920488E-3</v>
      </c>
      <c r="K54">
        <f>Table75[[#This Row],[Target Rate]]/Table75[[#Totals],[Target Rate]]</f>
        <v>0.14547585255237835</v>
      </c>
      <c r="M54">
        <v>6</v>
      </c>
      <c r="N54">
        <v>55671</v>
      </c>
      <c r="O54">
        <v>3</v>
      </c>
      <c r="P54">
        <v>5.3888020692999953E-3</v>
      </c>
      <c r="Q54">
        <v>1.449275362318841</v>
      </c>
      <c r="R54">
        <v>6.9211329922871725E-2</v>
      </c>
      <c r="S54">
        <v>8.4170640917143352E-2</v>
      </c>
      <c r="T54">
        <v>7.6687245180921848E-2</v>
      </c>
      <c r="U54">
        <v>7.7315207642735237E-2</v>
      </c>
      <c r="V54">
        <v>3.275908409396725E-3</v>
      </c>
      <c r="W54">
        <f>Table77[[#This Row],[Target Rate]]/Table77[[#Totals],[Target Rate]]</f>
        <v>0.19449332113954163</v>
      </c>
      <c r="Y54">
        <v>6</v>
      </c>
      <c r="Z54">
        <v>26141</v>
      </c>
      <c r="AA54">
        <v>0</v>
      </c>
      <c r="AB54">
        <v>0</v>
      </c>
      <c r="AC54">
        <v>0</v>
      </c>
      <c r="AD54">
        <v>6.924208084988398E-2</v>
      </c>
      <c r="AE54">
        <v>8.4154240074932607E-2</v>
      </c>
      <c r="AF54">
        <v>7.6294198562629284E-2</v>
      </c>
      <c r="AG54">
        <v>7.6949507171752918E-2</v>
      </c>
      <c r="AH54">
        <v>2.9648707868660802E-3</v>
      </c>
      <c r="AI54">
        <f>Table79[[#This Row],[Target Rate]]/Table79[[#Totals],[Target Rate]]</f>
        <v>0</v>
      </c>
    </row>
    <row r="55" spans="1:35" x14ac:dyDescent="0.35">
      <c r="A55">
        <v>7</v>
      </c>
      <c r="B55">
        <v>598074</v>
      </c>
      <c r="C55">
        <v>35</v>
      </c>
      <c r="D55">
        <v>5.8521186341489511E-3</v>
      </c>
      <c r="E55">
        <v>2.471751412429378</v>
      </c>
      <c r="F55">
        <v>6.1574580030878651E-2</v>
      </c>
      <c r="G55">
        <v>6.9135477321196778E-2</v>
      </c>
      <c r="H55">
        <v>6.4070293042498491E-2</v>
      </c>
      <c r="I55">
        <v>6.4598665729286339E-2</v>
      </c>
      <c r="J55">
        <v>1.361462065134666E-3</v>
      </c>
      <c r="K55">
        <f>Table75[[#This Row],[Target Rate]]/Table75[[#Totals],[Target Rate]]</f>
        <v>0.14373584474524806</v>
      </c>
      <c r="M55">
        <v>7</v>
      </c>
      <c r="N55">
        <v>159048</v>
      </c>
      <c r="O55">
        <v>7</v>
      </c>
      <c r="P55">
        <v>4.4011870630249984E-3</v>
      </c>
      <c r="Q55">
        <v>3.381642512077295</v>
      </c>
      <c r="R55">
        <v>6.1692438354091668E-2</v>
      </c>
      <c r="S55">
        <v>6.9122708783820666E-2</v>
      </c>
      <c r="T55">
        <v>6.3960710467765386E-2</v>
      </c>
      <c r="U55">
        <v>6.4598665729286339E-2</v>
      </c>
      <c r="V55">
        <v>1.2043784439548691E-3</v>
      </c>
      <c r="W55">
        <f>Table77[[#This Row],[Target Rate]]/Table77[[#Totals],[Target Rate]]</f>
        <v>0.15884819628480276</v>
      </c>
      <c r="Y55">
        <v>7</v>
      </c>
      <c r="Z55">
        <v>76951</v>
      </c>
      <c r="AA55">
        <v>4</v>
      </c>
      <c r="AB55">
        <v>5.1981130849501631E-3</v>
      </c>
      <c r="AC55">
        <v>4.3010752688172049</v>
      </c>
      <c r="AD55">
        <v>6.1692438354091668E-2</v>
      </c>
      <c r="AE55">
        <v>6.9122708783820666E-2</v>
      </c>
      <c r="AF55">
        <v>6.3776129379271324E-2</v>
      </c>
      <c r="AG55">
        <v>6.3764401459805178E-2</v>
      </c>
      <c r="AH55">
        <v>1.136318616736182E-3</v>
      </c>
      <c r="AI55">
        <f>Table79[[#This Row],[Target Rate]]/Table79[[#Totals],[Target Rate]]</f>
        <v>0.20925982363025877</v>
      </c>
    </row>
    <row r="56" spans="1:35" x14ac:dyDescent="0.35">
      <c r="A56">
        <v>8</v>
      </c>
      <c r="B56">
        <v>833118</v>
      </c>
      <c r="C56">
        <v>28</v>
      </c>
      <c r="D56">
        <v>3.3608684484070679E-3</v>
      </c>
      <c r="E56">
        <v>1.977401129943503</v>
      </c>
      <c r="F56">
        <v>5.7467726921859821E-2</v>
      </c>
      <c r="G56">
        <v>6.1303162549357602E-2</v>
      </c>
      <c r="H56">
        <v>5.7816883373859797E-2</v>
      </c>
      <c r="I56">
        <v>5.7467726921859821E-2</v>
      </c>
      <c r="J56">
        <v>8.3698557674979435E-4</v>
      </c>
      <c r="K56">
        <f>Table75[[#This Row],[Target Rate]]/Table75[[#Totals],[Target Rate]]</f>
        <v>8.2547414997798121E-2</v>
      </c>
      <c r="M56">
        <v>8</v>
      </c>
      <c r="N56">
        <v>210378</v>
      </c>
      <c r="O56">
        <v>4</v>
      </c>
      <c r="P56">
        <v>1.9013394936732929E-3</v>
      </c>
      <c r="Q56">
        <v>1.932367149758454</v>
      </c>
      <c r="R56">
        <v>5.7467726921859821E-2</v>
      </c>
      <c r="S56">
        <v>6.1303162549357602E-2</v>
      </c>
      <c r="T56">
        <v>5.7751127442613709E-2</v>
      </c>
      <c r="U56">
        <v>5.7467726921859821E-2</v>
      </c>
      <c r="V56">
        <v>7.6820003229848466E-4</v>
      </c>
      <c r="W56">
        <f>Table77[[#This Row],[Target Rate]]/Table77[[#Totals],[Target Rate]]</f>
        <v>6.8623383821245068E-2</v>
      </c>
      <c r="Y56">
        <v>8</v>
      </c>
      <c r="Z56">
        <v>106072</v>
      </c>
      <c r="AA56">
        <v>1</v>
      </c>
      <c r="AB56">
        <v>9.4275586394147379E-4</v>
      </c>
      <c r="AC56">
        <v>1.075268817204301</v>
      </c>
      <c r="AD56">
        <v>5.7467726921859821E-2</v>
      </c>
      <c r="AE56">
        <v>6.1303162549357602E-2</v>
      </c>
      <c r="AF56">
        <v>5.7773228833793953E-2</v>
      </c>
      <c r="AG56">
        <v>5.7467726921859821E-2</v>
      </c>
      <c r="AH56">
        <v>7.8465475007793441E-4</v>
      </c>
      <c r="AI56">
        <f>Table79[[#This Row],[Target Rate]]/Table79[[#Totals],[Target Rate]]</f>
        <v>3.7952411305933811E-2</v>
      </c>
    </row>
    <row r="57" spans="1:35" x14ac:dyDescent="0.35">
      <c r="A57">
        <v>9</v>
      </c>
      <c r="B57">
        <v>481666</v>
      </c>
      <c r="C57">
        <v>3</v>
      </c>
      <c r="D57">
        <v>6.2283823230205163E-4</v>
      </c>
      <c r="E57">
        <v>0.21186440677966101</v>
      </c>
      <c r="F57">
        <v>5.2312170824325002E-2</v>
      </c>
      <c r="G57">
        <v>5.735321683452712E-2</v>
      </c>
      <c r="H57">
        <v>5.6283828409104543E-2</v>
      </c>
      <c r="I57">
        <v>5.6122608346052448E-2</v>
      </c>
      <c r="J57">
        <v>4.2333012043511259E-4</v>
      </c>
      <c r="K57">
        <f>Table75[[#This Row],[Target Rate]]/Table75[[#Totals],[Target Rate]]</f>
        <v>1.5297738316029808E-2</v>
      </c>
      <c r="M57">
        <v>9</v>
      </c>
      <c r="N57">
        <v>146627</v>
      </c>
      <c r="O57">
        <v>0</v>
      </c>
      <c r="P57">
        <v>0</v>
      </c>
      <c r="Q57">
        <v>0</v>
      </c>
      <c r="R57">
        <v>5.2312170824325002E-2</v>
      </c>
      <c r="S57">
        <v>5.7329393274309998E-2</v>
      </c>
      <c r="T57">
        <v>5.6294882862957939E-2</v>
      </c>
      <c r="U57">
        <v>5.6122608346052448E-2</v>
      </c>
      <c r="V57">
        <v>3.4838241425710361E-4</v>
      </c>
      <c r="W57">
        <f>Table77[[#This Row],[Target Rate]]/Table77[[#Totals],[Target Rate]]</f>
        <v>0</v>
      </c>
      <c r="Y57">
        <v>9</v>
      </c>
      <c r="Z57">
        <v>78902</v>
      </c>
      <c r="AA57">
        <v>0</v>
      </c>
      <c r="AB57">
        <v>0</v>
      </c>
      <c r="AC57">
        <v>0</v>
      </c>
      <c r="AD57">
        <v>5.2312170824325002E-2</v>
      </c>
      <c r="AE57">
        <v>5.7236932479485608E-2</v>
      </c>
      <c r="AF57">
        <v>5.630188264929134E-2</v>
      </c>
      <c r="AG57">
        <v>5.6122608346052448E-2</v>
      </c>
      <c r="AH57">
        <v>3.4190471804988423E-4</v>
      </c>
      <c r="AI57">
        <f>Table79[[#This Row],[Target Rate]]/Table79[[#Totals],[Target Rate]]</f>
        <v>0</v>
      </c>
    </row>
    <row r="58" spans="1:35" x14ac:dyDescent="0.35">
      <c r="A58">
        <v>10</v>
      </c>
      <c r="B58">
        <v>188156</v>
      </c>
      <c r="C58">
        <v>0</v>
      </c>
      <c r="D58">
        <v>0</v>
      </c>
      <c r="E58">
        <v>0</v>
      </c>
      <c r="F58">
        <v>4.3145801568798881E-2</v>
      </c>
      <c r="G58">
        <v>5.1999506344833593E-2</v>
      </c>
      <c r="H58">
        <v>4.6769378033051062E-2</v>
      </c>
      <c r="I58">
        <v>4.5650595099224991E-2</v>
      </c>
      <c r="J58">
        <v>1.7238737965740391E-3</v>
      </c>
      <c r="K58">
        <f>Table75[[#This Row],[Target Rate]]/Table75[[#Totals],[Target Rate]]</f>
        <v>0</v>
      </c>
      <c r="M58">
        <v>10</v>
      </c>
      <c r="N58">
        <v>54328</v>
      </c>
      <c r="O58">
        <v>0</v>
      </c>
      <c r="P58">
        <v>0</v>
      </c>
      <c r="Q58">
        <v>0</v>
      </c>
      <c r="R58">
        <v>4.3145801568798881E-2</v>
      </c>
      <c r="S58">
        <v>5.0398471241447043E-2</v>
      </c>
      <c r="T58">
        <v>4.6737885669302807E-2</v>
      </c>
      <c r="U58">
        <v>4.5650595099224991E-2</v>
      </c>
      <c r="V58">
        <v>1.615215729880045E-3</v>
      </c>
      <c r="W58">
        <f>Table77[[#This Row],[Target Rate]]/Table77[[#Totals],[Target Rate]]</f>
        <v>0</v>
      </c>
      <c r="Y58">
        <v>10</v>
      </c>
      <c r="Z58">
        <v>27859</v>
      </c>
      <c r="AA58">
        <v>0</v>
      </c>
      <c r="AB58">
        <v>0</v>
      </c>
      <c r="AC58">
        <v>0</v>
      </c>
      <c r="AD58">
        <v>4.3145801568798881E-2</v>
      </c>
      <c r="AE58">
        <v>5.1999506344833593E-2</v>
      </c>
      <c r="AF58">
        <v>4.6591500611589023E-2</v>
      </c>
      <c r="AG58">
        <v>4.5650595099224991E-2</v>
      </c>
      <c r="AH58">
        <v>1.4938167836401691E-3</v>
      </c>
      <c r="AI58">
        <f>Table79[[#This Row],[Target Rate]]/Table79[[#Totals],[Target Rate]]</f>
        <v>0</v>
      </c>
    </row>
    <row r="59" spans="1:35" x14ac:dyDescent="0.35">
      <c r="B59">
        <f>SUM(Table75[Counts])</f>
        <v>3477885</v>
      </c>
      <c r="C59">
        <f>SUM(Table75[Positive Target])</f>
        <v>1416</v>
      </c>
      <c r="D59">
        <f>Table75[[#Totals],[Positive Target]]/Table75[[#Totals],[Counts]]*100</f>
        <v>4.0714399699817563E-2</v>
      </c>
      <c r="N59">
        <f>SUM(Table77[Counts])</f>
        <v>747107</v>
      </c>
      <c r="O59">
        <f>SUM(Table77[Positive Target])</f>
        <v>207</v>
      </c>
      <c r="P59">
        <f>Table77[[#Totals],[Positive Target]]/Table77[[#Totals],[Counts]]*100</f>
        <v>2.7706874651154387E-2</v>
      </c>
      <c r="Z59">
        <f>SUM(Table79[Counts])</f>
        <v>374389</v>
      </c>
      <c r="AA59">
        <f>SUM(Table79[Positive Target])</f>
        <v>93</v>
      </c>
      <c r="AB59">
        <f>Table79[[#Totals],[Positive Target]]/Table79[[#Totals],[Counts]]*100</f>
        <v>2.4840473411344884E-2</v>
      </c>
    </row>
    <row r="95" spans="1:1" x14ac:dyDescent="0.35">
      <c r="A95" t="s">
        <v>74</v>
      </c>
    </row>
    <row r="96" spans="1:1" x14ac:dyDescent="0.35">
      <c r="A96" t="s">
        <v>49</v>
      </c>
    </row>
    <row r="97" spans="1:34" x14ac:dyDescent="0.35">
      <c r="A97" t="s">
        <v>50</v>
      </c>
      <c r="M97" t="s">
        <v>51</v>
      </c>
      <c r="Y97" t="s">
        <v>52</v>
      </c>
    </row>
    <row r="98" spans="1:34" x14ac:dyDescent="0.35">
      <c r="A98" s="1" t="s">
        <v>53</v>
      </c>
      <c r="B98" s="1" t="s">
        <v>3</v>
      </c>
      <c r="C98" s="1" t="s">
        <v>4</v>
      </c>
      <c r="D98" s="1" t="s">
        <v>5</v>
      </c>
      <c r="E98" s="1" t="s">
        <v>6</v>
      </c>
      <c r="F98" s="1" t="s">
        <v>13</v>
      </c>
      <c r="G98" s="1" t="s">
        <v>8</v>
      </c>
      <c r="H98" s="1" t="s">
        <v>9</v>
      </c>
      <c r="I98" s="1" t="s">
        <v>10</v>
      </c>
      <c r="J98" s="1" t="s">
        <v>11</v>
      </c>
      <c r="M98" s="1" t="s">
        <v>53</v>
      </c>
      <c r="N98" s="1" t="s">
        <v>3</v>
      </c>
      <c r="O98" s="1" t="s">
        <v>4</v>
      </c>
      <c r="P98" s="1" t="s">
        <v>5</v>
      </c>
      <c r="Q98" s="1" t="s">
        <v>6</v>
      </c>
      <c r="R98" s="1" t="s">
        <v>13</v>
      </c>
      <c r="S98" s="1" t="s">
        <v>8</v>
      </c>
      <c r="T98" s="1" t="s">
        <v>9</v>
      </c>
      <c r="U98" s="1" t="s">
        <v>10</v>
      </c>
      <c r="V98" s="1" t="s">
        <v>11</v>
      </c>
      <c r="Y98" s="1" t="s">
        <v>53</v>
      </c>
      <c r="Z98" s="1" t="s">
        <v>3</v>
      </c>
      <c r="AA98" s="1" t="s">
        <v>4</v>
      </c>
      <c r="AB98" s="1" t="s">
        <v>5</v>
      </c>
      <c r="AC98" s="1" t="s">
        <v>6</v>
      </c>
      <c r="AD98" s="1" t="s">
        <v>13</v>
      </c>
      <c r="AE98" s="1" t="s">
        <v>8</v>
      </c>
      <c r="AF98" s="1" t="s">
        <v>9</v>
      </c>
      <c r="AG98" s="1" t="s">
        <v>10</v>
      </c>
      <c r="AH98" s="1" t="s">
        <v>11</v>
      </c>
    </row>
    <row r="99" spans="1:34" x14ac:dyDescent="0.35">
      <c r="A99">
        <v>1</v>
      </c>
      <c r="B99">
        <v>846329</v>
      </c>
      <c r="C99">
        <v>5236</v>
      </c>
      <c r="D99">
        <v>0.61867193490947381</v>
      </c>
      <c r="E99">
        <v>61.433767452774838</v>
      </c>
      <c r="F99">
        <v>0.5155683159828186</v>
      </c>
      <c r="G99">
        <v>0.96559852361679077</v>
      </c>
      <c r="H99">
        <v>0.63752049207687378</v>
      </c>
      <c r="I99">
        <v>0.62221193313598633</v>
      </c>
      <c r="J99">
        <v>8.7819807231426239E-2</v>
      </c>
      <c r="M99">
        <v>1</v>
      </c>
      <c r="N99">
        <v>180137</v>
      </c>
      <c r="O99">
        <v>2165</v>
      </c>
      <c r="P99">
        <v>1.201863026474294</v>
      </c>
      <c r="Q99">
        <v>71.950814223994684</v>
      </c>
      <c r="R99">
        <v>0.51557165384292603</v>
      </c>
      <c r="S99">
        <v>0.94397813081741333</v>
      </c>
      <c r="T99">
        <v>0.63489341735839844</v>
      </c>
      <c r="U99">
        <v>0.61892437934875488</v>
      </c>
      <c r="V99">
        <v>8.6673945188522339E-2</v>
      </c>
      <c r="Y99">
        <v>1</v>
      </c>
      <c r="Z99">
        <v>84766</v>
      </c>
      <c r="AA99">
        <v>383</v>
      </c>
      <c r="AB99">
        <v>0.45183210249392453</v>
      </c>
      <c r="AC99">
        <v>45.978391356542623</v>
      </c>
      <c r="AD99">
        <v>0.51556986570358276</v>
      </c>
      <c r="AE99">
        <v>0.93436497449874878</v>
      </c>
      <c r="AF99">
        <v>0.62750595808029175</v>
      </c>
      <c r="AG99">
        <v>0.61249089241027832</v>
      </c>
      <c r="AH99">
        <v>8.1973686814308167E-2</v>
      </c>
    </row>
    <row r="100" spans="1:34" x14ac:dyDescent="0.35">
      <c r="A100">
        <v>2</v>
      </c>
      <c r="B100">
        <v>846329</v>
      </c>
      <c r="C100">
        <v>1830</v>
      </c>
      <c r="D100">
        <v>0.216227968083334</v>
      </c>
      <c r="E100">
        <v>21.471312917986619</v>
      </c>
      <c r="F100">
        <v>0.36147740483284002</v>
      </c>
      <c r="G100">
        <v>0.51556789875030518</v>
      </c>
      <c r="H100">
        <v>0.43569788336753851</v>
      </c>
      <c r="I100">
        <v>0.43418818712234503</v>
      </c>
      <c r="J100">
        <v>4.372093454003334E-2</v>
      </c>
      <c r="M100">
        <v>2</v>
      </c>
      <c r="N100">
        <v>197070</v>
      </c>
      <c r="O100">
        <v>525</v>
      </c>
      <c r="P100">
        <v>0.26640280103516523</v>
      </c>
      <c r="Q100">
        <v>17.447657028913259</v>
      </c>
      <c r="R100">
        <v>0.36147788166999822</v>
      </c>
      <c r="S100">
        <v>0.51556593179702759</v>
      </c>
      <c r="T100">
        <v>0.4344308078289032</v>
      </c>
      <c r="U100">
        <v>0.43208196759223938</v>
      </c>
      <c r="V100">
        <v>4.3384067714214318E-2</v>
      </c>
      <c r="Y100">
        <v>2</v>
      </c>
      <c r="Z100">
        <v>104854</v>
      </c>
      <c r="AA100">
        <v>242</v>
      </c>
      <c r="AB100">
        <v>0.2307971083601961</v>
      </c>
      <c r="AC100">
        <v>29.051620648259298</v>
      </c>
      <c r="AD100">
        <v>0.36147785186767578</v>
      </c>
      <c r="AE100">
        <v>0.51556503772735596</v>
      </c>
      <c r="AF100">
        <v>0.43299388885498052</v>
      </c>
      <c r="AG100">
        <v>0.43029528856277471</v>
      </c>
      <c r="AH100">
        <v>4.3289445340633392E-2</v>
      </c>
    </row>
    <row r="101" spans="1:34" x14ac:dyDescent="0.35">
      <c r="A101">
        <v>3</v>
      </c>
      <c r="B101">
        <v>846329</v>
      </c>
      <c r="C101">
        <v>905</v>
      </c>
      <c r="D101">
        <v>0.1069324104455832</v>
      </c>
      <c r="E101">
        <v>10.618326880206499</v>
      </c>
      <c r="F101">
        <v>0.2144462317228317</v>
      </c>
      <c r="G101">
        <v>0.36147734522819519</v>
      </c>
      <c r="H101">
        <v>0.28567472100257868</v>
      </c>
      <c r="I101">
        <v>0.28426036238670349</v>
      </c>
      <c r="J101">
        <v>4.2658157646656043E-2</v>
      </c>
      <c r="M101">
        <v>3</v>
      </c>
      <c r="N101">
        <v>209850</v>
      </c>
      <c r="O101">
        <v>206</v>
      </c>
      <c r="P101">
        <v>9.816535620681438E-2</v>
      </c>
      <c r="Q101">
        <v>6.8461282818212021</v>
      </c>
      <c r="R101">
        <v>0.2144462317228317</v>
      </c>
      <c r="S101">
        <v>0.36147734522819519</v>
      </c>
      <c r="T101">
        <v>0.28691646456718439</v>
      </c>
      <c r="U101">
        <v>0.28571805357933039</v>
      </c>
      <c r="V101">
        <v>4.147917777299881E-2</v>
      </c>
      <c r="Y101">
        <v>3</v>
      </c>
      <c r="Z101">
        <v>119049</v>
      </c>
      <c r="AA101">
        <v>135</v>
      </c>
      <c r="AB101">
        <v>0.1133986845752589</v>
      </c>
      <c r="AC101">
        <v>16.206482593037219</v>
      </c>
      <c r="AD101">
        <v>0.2144462317228317</v>
      </c>
      <c r="AE101">
        <v>0.36147263646125788</v>
      </c>
      <c r="AF101">
        <v>0.28668969869613647</v>
      </c>
      <c r="AG101">
        <v>0.28580787777900701</v>
      </c>
      <c r="AH101">
        <v>4.1863724589347839E-2</v>
      </c>
    </row>
    <row r="102" spans="1:34" x14ac:dyDescent="0.35">
      <c r="A102">
        <v>4</v>
      </c>
      <c r="B102">
        <v>846329</v>
      </c>
      <c r="C102">
        <v>330</v>
      </c>
      <c r="D102">
        <v>3.8991928670765147E-2</v>
      </c>
      <c r="E102">
        <v>3.8718760999648012</v>
      </c>
      <c r="F102">
        <v>6.6250301897525787E-2</v>
      </c>
      <c r="G102">
        <v>0.2144462317228317</v>
      </c>
      <c r="H102">
        <v>0.13490962982177729</v>
      </c>
      <c r="I102">
        <v>0.13568589091300959</v>
      </c>
      <c r="J102">
        <v>4.3596882373094559E-2</v>
      </c>
      <c r="M102">
        <v>4</v>
      </c>
      <c r="N102">
        <v>171180</v>
      </c>
      <c r="O102">
        <v>80</v>
      </c>
      <c r="P102">
        <v>4.6734431592475763E-2</v>
      </c>
      <c r="Q102">
        <v>2.658690594882021</v>
      </c>
      <c r="R102">
        <v>6.6250301897525787E-2</v>
      </c>
      <c r="S102">
        <v>0.21444594860076899</v>
      </c>
      <c r="T102">
        <v>0.14984810352325439</v>
      </c>
      <c r="U102">
        <v>0.15802107751369479</v>
      </c>
      <c r="V102">
        <v>3.7612404674291611E-2</v>
      </c>
      <c r="Y102">
        <v>4</v>
      </c>
      <c r="Z102">
        <v>100742</v>
      </c>
      <c r="AA102">
        <v>58</v>
      </c>
      <c r="AB102">
        <v>5.7572809751642813E-2</v>
      </c>
      <c r="AC102">
        <v>6.9627851140456176</v>
      </c>
      <c r="AD102">
        <v>6.6250301897525787E-2</v>
      </c>
      <c r="AE102">
        <v>0.21444456279277799</v>
      </c>
      <c r="AF102">
        <v>0.14964435994625089</v>
      </c>
      <c r="AG102">
        <v>0.15714909136295321</v>
      </c>
      <c r="AH102">
        <v>3.8514770567417138E-2</v>
      </c>
    </row>
    <row r="103" spans="1:34" x14ac:dyDescent="0.35">
      <c r="A103">
        <v>5</v>
      </c>
      <c r="B103">
        <v>846329</v>
      </c>
      <c r="C103">
        <v>110</v>
      </c>
      <c r="D103">
        <v>1.2997309556921721E-2</v>
      </c>
      <c r="E103">
        <v>1.2906253666549341</v>
      </c>
      <c r="F103">
        <v>3.103011287748814E-2</v>
      </c>
      <c r="G103">
        <v>6.6250301897525787E-2</v>
      </c>
      <c r="H103">
        <v>4.6078506857156747E-2</v>
      </c>
      <c r="I103">
        <v>4.3843649327754967E-2</v>
      </c>
      <c r="J103">
        <v>1.1017303913831711E-2</v>
      </c>
      <c r="M103">
        <v>5</v>
      </c>
      <c r="N103">
        <v>96226</v>
      </c>
      <c r="O103">
        <v>3</v>
      </c>
      <c r="P103">
        <v>3.1176605075551298E-3</v>
      </c>
      <c r="Q103">
        <v>9.970089730807577E-2</v>
      </c>
      <c r="R103">
        <v>3.103011287748814E-2</v>
      </c>
      <c r="S103">
        <v>6.6248208284378052E-2</v>
      </c>
      <c r="T103">
        <v>4.2706184089183807E-2</v>
      </c>
      <c r="U103">
        <v>3.9476707577705383E-2</v>
      </c>
      <c r="V103">
        <v>9.2377606779336929E-3</v>
      </c>
      <c r="Y103">
        <v>5</v>
      </c>
      <c r="Z103">
        <v>43974</v>
      </c>
      <c r="AA103">
        <v>3</v>
      </c>
      <c r="AB103">
        <v>6.8222131259380548E-3</v>
      </c>
      <c r="AC103">
        <v>0.36014405762304919</v>
      </c>
      <c r="AD103">
        <v>3.103011287748814E-2</v>
      </c>
      <c r="AE103">
        <v>6.6237986087799072E-2</v>
      </c>
      <c r="AF103">
        <v>4.3780587613582611E-2</v>
      </c>
      <c r="AG103">
        <v>4.0148220956325531E-2</v>
      </c>
      <c r="AH103">
        <v>1.051292754709721E-2</v>
      </c>
    </row>
    <row r="104" spans="1:34" x14ac:dyDescent="0.35">
      <c r="A104">
        <v>6</v>
      </c>
      <c r="B104">
        <v>846329</v>
      </c>
      <c r="C104">
        <v>59</v>
      </c>
      <c r="D104">
        <v>6.9712842168943752E-3</v>
      </c>
      <c r="E104">
        <v>0.69224451484219174</v>
      </c>
      <c r="F104">
        <v>2.086584456264973E-2</v>
      </c>
      <c r="G104">
        <v>3.103011287748814E-2</v>
      </c>
      <c r="H104">
        <v>2.4167373776435849E-2</v>
      </c>
      <c r="I104">
        <v>2.3759260773658749E-2</v>
      </c>
      <c r="J104">
        <v>2.5841568130999799E-3</v>
      </c>
      <c r="M104">
        <v>6</v>
      </c>
      <c r="N104">
        <v>199722</v>
      </c>
      <c r="O104">
        <v>12</v>
      </c>
      <c r="P104">
        <v>6.0083516087361434E-3</v>
      </c>
      <c r="Q104">
        <v>0.39880358923230308</v>
      </c>
      <c r="R104">
        <v>2.086584456264973E-2</v>
      </c>
      <c r="S104">
        <v>3.101972863078117E-2</v>
      </c>
      <c r="T104">
        <v>2.3681450635194778E-2</v>
      </c>
      <c r="U104">
        <v>2.363657578825951E-2</v>
      </c>
      <c r="V104">
        <v>2.3735661525279279E-3</v>
      </c>
      <c r="Y104">
        <v>6</v>
      </c>
      <c r="Z104">
        <v>98546</v>
      </c>
      <c r="AA104">
        <v>3</v>
      </c>
      <c r="AB104">
        <v>3.044263592636941E-3</v>
      </c>
      <c r="AC104">
        <v>0.36014405762304919</v>
      </c>
      <c r="AD104">
        <v>2.086584456264973E-2</v>
      </c>
      <c r="AE104">
        <v>3.102312050759792E-2</v>
      </c>
      <c r="AF104">
        <v>2.3930031806230549E-2</v>
      </c>
      <c r="AG104">
        <v>2.3759260773658749E-2</v>
      </c>
      <c r="AH104">
        <v>2.2161116357892752E-3</v>
      </c>
    </row>
    <row r="105" spans="1:34" x14ac:dyDescent="0.35">
      <c r="A105">
        <v>7</v>
      </c>
      <c r="B105">
        <v>846329</v>
      </c>
      <c r="C105">
        <v>38</v>
      </c>
      <c r="D105">
        <v>4.4899796651184116E-3</v>
      </c>
      <c r="E105">
        <v>0.44585239938988608</v>
      </c>
      <c r="F105">
        <v>1.068469602614641E-2</v>
      </c>
      <c r="G105">
        <v>2.086584456264973E-2</v>
      </c>
      <c r="H105">
        <v>1.497893873602152E-2</v>
      </c>
      <c r="I105">
        <v>1.498761493712664E-2</v>
      </c>
      <c r="J105">
        <v>2.9652873054146771E-3</v>
      </c>
      <c r="M105">
        <v>7</v>
      </c>
      <c r="N105">
        <v>222645</v>
      </c>
      <c r="O105">
        <v>8</v>
      </c>
      <c r="P105">
        <v>3.5931640054795749E-3</v>
      </c>
      <c r="Q105">
        <v>0.26586905948820211</v>
      </c>
      <c r="R105">
        <v>1.068469602614641E-2</v>
      </c>
      <c r="S105">
        <v>2.086146175861359E-2</v>
      </c>
      <c r="T105">
        <v>1.48439034819603E-2</v>
      </c>
      <c r="U105">
        <v>1.493714656680822E-2</v>
      </c>
      <c r="V105">
        <v>3.0622824560850859E-3</v>
      </c>
      <c r="Y105">
        <v>7</v>
      </c>
      <c r="Z105">
        <v>110589</v>
      </c>
      <c r="AA105">
        <v>3</v>
      </c>
      <c r="AB105">
        <v>2.7127471990885171E-3</v>
      </c>
      <c r="AC105">
        <v>0.36014405762304919</v>
      </c>
      <c r="AD105">
        <v>1.068469602614641E-2</v>
      </c>
      <c r="AE105">
        <v>2.0863424986600879E-2</v>
      </c>
      <c r="AF105">
        <v>1.472366973757744E-2</v>
      </c>
      <c r="AG105">
        <v>1.4406304806470869E-2</v>
      </c>
      <c r="AH105">
        <v>3.115701954811811E-3</v>
      </c>
    </row>
    <row r="106" spans="1:34" x14ac:dyDescent="0.35">
      <c r="A106">
        <v>8</v>
      </c>
      <c r="B106">
        <v>846328</v>
      </c>
      <c r="C106">
        <v>13</v>
      </c>
      <c r="D106">
        <v>1.536047489862086E-3</v>
      </c>
      <c r="E106">
        <v>0.15252845242285579</v>
      </c>
      <c r="F106">
        <v>5.9850886464118958E-3</v>
      </c>
      <c r="G106">
        <v>1.068469602614641E-2</v>
      </c>
      <c r="H106">
        <v>8.1318113952875137E-3</v>
      </c>
      <c r="I106">
        <v>8.0078942701220512E-3</v>
      </c>
      <c r="J106">
        <v>1.396984560415149E-3</v>
      </c>
      <c r="M106">
        <v>8</v>
      </c>
      <c r="N106">
        <v>228690</v>
      </c>
      <c r="O106">
        <v>6</v>
      </c>
      <c r="P106">
        <v>2.6236389872753511E-3</v>
      </c>
      <c r="Q106">
        <v>0.19940179461615151</v>
      </c>
      <c r="R106">
        <v>5.9850886464118958E-3</v>
      </c>
      <c r="S106">
        <v>1.068348623812199E-2</v>
      </c>
      <c r="T106">
        <v>8.1206774339079857E-3</v>
      </c>
      <c r="U106">
        <v>7.9802898690104485E-3</v>
      </c>
      <c r="V106">
        <v>1.410651369951665E-3</v>
      </c>
      <c r="Y106">
        <v>8</v>
      </c>
      <c r="Z106">
        <v>119705</v>
      </c>
      <c r="AA106">
        <v>3</v>
      </c>
      <c r="AB106">
        <v>2.5061609790735561E-3</v>
      </c>
      <c r="AC106">
        <v>0.36014405762304919</v>
      </c>
      <c r="AD106">
        <v>5.9850886464118958E-3</v>
      </c>
      <c r="AE106">
        <v>1.0684403590857979E-2</v>
      </c>
      <c r="AF106">
        <v>8.1843538209795952E-3</v>
      </c>
      <c r="AG106">
        <v>8.2306861877441406E-3</v>
      </c>
      <c r="AH106">
        <v>1.4118965482339261E-3</v>
      </c>
    </row>
    <row r="107" spans="1:34" x14ac:dyDescent="0.35">
      <c r="A107">
        <v>9</v>
      </c>
      <c r="B107">
        <v>846328</v>
      </c>
      <c r="C107">
        <v>2</v>
      </c>
      <c r="D107">
        <v>2.3631499844032101E-4</v>
      </c>
      <c r="E107">
        <v>2.346591575736243E-2</v>
      </c>
      <c r="F107">
        <v>2.006614580750465E-3</v>
      </c>
      <c r="G107">
        <v>5.9850886464118958E-3</v>
      </c>
      <c r="H107">
        <v>4.0012099780142307E-3</v>
      </c>
      <c r="I107">
        <v>4.0429113432765007E-3</v>
      </c>
      <c r="J107">
        <v>1.2591928243637081E-3</v>
      </c>
      <c r="M107">
        <v>9</v>
      </c>
      <c r="N107">
        <v>201942</v>
      </c>
      <c r="O107">
        <v>4</v>
      </c>
      <c r="P107">
        <v>1.9807667548107869E-3</v>
      </c>
      <c r="Q107">
        <v>0.132934529744101</v>
      </c>
      <c r="R107">
        <v>2.006614580750465E-3</v>
      </c>
      <c r="S107">
        <v>5.9832134284079066E-3</v>
      </c>
      <c r="T107">
        <v>3.786811837926507E-3</v>
      </c>
      <c r="U107">
        <v>3.706153947860003E-3</v>
      </c>
      <c r="V107">
        <v>1.209015375934541E-3</v>
      </c>
      <c r="Y107">
        <v>9</v>
      </c>
      <c r="Z107">
        <v>101106</v>
      </c>
      <c r="AA107">
        <v>3</v>
      </c>
      <c r="AB107">
        <v>2.967182956501098E-3</v>
      </c>
      <c r="AC107">
        <v>0.36014405762304919</v>
      </c>
      <c r="AD107">
        <v>2.006614580750465E-3</v>
      </c>
      <c r="AE107">
        <v>5.9832134284079066E-3</v>
      </c>
      <c r="AF107">
        <v>3.737286431714892E-3</v>
      </c>
      <c r="AG107">
        <v>3.547495929524302E-3</v>
      </c>
      <c r="AH107">
        <v>1.211087335832417E-3</v>
      </c>
    </row>
    <row r="108" spans="1:34" x14ac:dyDescent="0.35">
      <c r="A108">
        <v>10</v>
      </c>
      <c r="B108">
        <v>846328</v>
      </c>
      <c r="C108">
        <v>0</v>
      </c>
      <c r="D108">
        <v>0</v>
      </c>
      <c r="E108">
        <v>0</v>
      </c>
      <c r="F108">
        <v>3.2255303813144559E-4</v>
      </c>
      <c r="G108">
        <v>2.006614580750465E-3</v>
      </c>
      <c r="H108">
        <v>1.2509091757237909E-3</v>
      </c>
      <c r="I108">
        <v>1.172240008600056E-3</v>
      </c>
      <c r="J108">
        <v>3.9435125654563308E-4</v>
      </c>
      <c r="M108">
        <v>10</v>
      </c>
      <c r="N108">
        <v>251134</v>
      </c>
      <c r="O108">
        <v>0</v>
      </c>
      <c r="P108">
        <v>0</v>
      </c>
      <c r="Q108">
        <v>0</v>
      </c>
      <c r="R108">
        <v>3.2255303813144559E-4</v>
      </c>
      <c r="S108">
        <v>2.0053496118634939E-3</v>
      </c>
      <c r="T108">
        <v>1.2125935172662139E-3</v>
      </c>
      <c r="U108">
        <v>1.172240008600056E-3</v>
      </c>
      <c r="V108">
        <v>3.6955613177269703E-4</v>
      </c>
      <c r="Y108">
        <v>10</v>
      </c>
      <c r="Z108">
        <v>131509</v>
      </c>
      <c r="AA108">
        <v>0</v>
      </c>
      <c r="AB108">
        <v>0</v>
      </c>
      <c r="AC108">
        <v>0</v>
      </c>
      <c r="AD108">
        <v>3.2255303813144559E-4</v>
      </c>
      <c r="AE108">
        <v>2.0053496118634939E-3</v>
      </c>
      <c r="AF108">
        <v>1.2053530663251879E-3</v>
      </c>
      <c r="AG108">
        <v>1.172240008600056E-3</v>
      </c>
      <c r="AH108">
        <v>3.6308169364929199E-4</v>
      </c>
    </row>
    <row r="110" spans="1:34" x14ac:dyDescent="0.35">
      <c r="H110" t="s">
        <v>75</v>
      </c>
      <c r="I110" t="s">
        <v>56</v>
      </c>
    </row>
    <row r="111" spans="1:34" x14ac:dyDescent="0.35">
      <c r="H111" t="s">
        <v>58</v>
      </c>
      <c r="I111">
        <v>0.27339999999999998</v>
      </c>
    </row>
    <row r="112" spans="1:34" x14ac:dyDescent="0.35">
      <c r="H112" t="s">
        <v>57</v>
      </c>
      <c r="I112">
        <v>0.245</v>
      </c>
    </row>
    <row r="113" spans="8:9" x14ac:dyDescent="0.35">
      <c r="H113" t="s">
        <v>59</v>
      </c>
      <c r="I113">
        <v>0.1371</v>
      </c>
    </row>
    <row r="114" spans="8:9" x14ac:dyDescent="0.35">
      <c r="H114" t="s">
        <v>62</v>
      </c>
      <c r="I114">
        <v>7.7100000000000002E-2</v>
      </c>
    </row>
    <row r="115" spans="8:9" x14ac:dyDescent="0.35">
      <c r="H115" t="s">
        <v>67</v>
      </c>
      <c r="I115">
        <v>6.3100000000000003E-2</v>
      </c>
    </row>
    <row r="116" spans="8:9" x14ac:dyDescent="0.35">
      <c r="H116" t="s">
        <v>64</v>
      </c>
      <c r="I116">
        <v>5.2299999999999999E-2</v>
      </c>
    </row>
    <row r="117" spans="8:9" x14ac:dyDescent="0.35">
      <c r="H117" t="s">
        <v>61</v>
      </c>
      <c r="I117">
        <v>4.3900000000000002E-2</v>
      </c>
    </row>
    <row r="118" spans="8:9" x14ac:dyDescent="0.35">
      <c r="H118" t="s">
        <v>65</v>
      </c>
      <c r="I118">
        <v>2.9000000000000001E-2</v>
      </c>
    </row>
    <row r="119" spans="8:9" x14ac:dyDescent="0.35">
      <c r="H119" t="s">
        <v>63</v>
      </c>
      <c r="I119">
        <v>2.46E-2</v>
      </c>
    </row>
    <row r="120" spans="8:9" x14ac:dyDescent="0.35">
      <c r="H120" t="s">
        <v>66</v>
      </c>
      <c r="I120">
        <v>2.1299999999999999E-2</v>
      </c>
    </row>
    <row r="121" spans="8:9" x14ac:dyDescent="0.35">
      <c r="H121" t="s">
        <v>69</v>
      </c>
      <c r="I121">
        <v>1.32E-2</v>
      </c>
    </row>
    <row r="122" spans="8:9" x14ac:dyDescent="0.35">
      <c r="H122" t="s">
        <v>60</v>
      </c>
      <c r="I122">
        <v>1.17E-2</v>
      </c>
    </row>
    <row r="123" spans="8:9" x14ac:dyDescent="0.35">
      <c r="H123" t="s">
        <v>71</v>
      </c>
      <c r="I123">
        <v>8.2000000000000007E-3</v>
      </c>
    </row>
    <row r="124" spans="8:9" x14ac:dyDescent="0.35">
      <c r="H124" t="s">
        <v>70</v>
      </c>
      <c r="I124">
        <v>0</v>
      </c>
    </row>
  </sheetData>
  <pageMargins left="0.7" right="0.7" top="0.75" bottom="0.75" header="0.3" footer="0.3"/>
  <headerFooter>
    <oddFooter>&amp;C_x000D_&amp;1#&amp;"Aptos"&amp;12&amp;K008000 Public</oddFooter>
  </headerFooter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14DA-33B4-4B1B-847A-7B3FD9BDA32E}">
  <dimension ref="A1:AG28"/>
  <sheetViews>
    <sheetView topLeftCell="A5" workbookViewId="0">
      <selection activeCell="D4" sqref="D4"/>
    </sheetView>
  </sheetViews>
  <sheetFormatPr defaultRowHeight="14.5" x14ac:dyDescent="0.35"/>
  <cols>
    <col min="1" max="1" width="11.7265625" customWidth="1"/>
    <col min="2" max="2" width="15.453125" customWidth="1"/>
    <col min="3" max="3" width="12.453125" customWidth="1"/>
    <col min="4" max="4" width="18.81640625" customWidth="1"/>
    <col min="5" max="5" width="18.54296875" customWidth="1"/>
    <col min="6" max="6" width="18.81640625" customWidth="1"/>
    <col min="7" max="7" width="20.1796875" customWidth="1"/>
    <col min="8" max="8" width="21.7265625" customWidth="1"/>
    <col min="9" max="9" width="17.81640625" customWidth="1"/>
    <col min="13" max="14" width="15.453125" customWidth="1"/>
    <col min="15" max="17" width="18.81640625" customWidth="1"/>
    <col min="18" max="18" width="20.1796875" customWidth="1"/>
    <col min="19" max="20" width="21.7265625" customWidth="1"/>
    <col min="21" max="21" width="17.81640625" customWidth="1"/>
    <col min="24" max="24" width="15.453125" customWidth="1"/>
    <col min="25" max="25" width="12.453125" customWidth="1"/>
    <col min="26" max="26" width="18.81640625" customWidth="1"/>
    <col min="27" max="27" width="18.54296875" customWidth="1"/>
    <col min="28" max="28" width="18.81640625" customWidth="1"/>
    <col min="29" max="29" width="20.1796875" customWidth="1"/>
    <col min="30" max="30" width="21.7265625" customWidth="1"/>
    <col min="31" max="31" width="20.1796875" customWidth="1"/>
    <col min="32" max="32" width="21.7265625" customWidth="1"/>
    <col min="33" max="33" width="17.81640625" customWidth="1"/>
  </cols>
  <sheetData>
    <row r="1" spans="1:33" x14ac:dyDescent="0.35">
      <c r="A1" t="s">
        <v>49</v>
      </c>
      <c r="B1" t="s">
        <v>76</v>
      </c>
    </row>
    <row r="2" spans="1:33" x14ac:dyDescent="0.35">
      <c r="A2" t="s">
        <v>50</v>
      </c>
      <c r="L2" t="s">
        <v>51</v>
      </c>
      <c r="X2" t="s">
        <v>52</v>
      </c>
    </row>
    <row r="3" spans="1:33" x14ac:dyDescent="0.35">
      <c r="A3" s="1" t="s">
        <v>53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13</v>
      </c>
      <c r="G3" s="1" t="s">
        <v>8</v>
      </c>
      <c r="H3" s="1" t="s">
        <v>9</v>
      </c>
      <c r="I3" s="1" t="s">
        <v>10</v>
      </c>
      <c r="J3" s="1" t="s">
        <v>11</v>
      </c>
      <c r="L3" s="1" t="s">
        <v>53</v>
      </c>
      <c r="M3" s="1" t="s">
        <v>3</v>
      </c>
      <c r="N3" s="1" t="s">
        <v>4</v>
      </c>
      <c r="O3" s="1" t="s">
        <v>5</v>
      </c>
      <c r="P3" s="1" t="s">
        <v>6</v>
      </c>
      <c r="Q3" s="1" t="s">
        <v>13</v>
      </c>
      <c r="R3" s="1" t="s">
        <v>8</v>
      </c>
      <c r="S3" s="1" t="s">
        <v>9</v>
      </c>
      <c r="T3" s="1" t="s">
        <v>10</v>
      </c>
      <c r="U3" s="1" t="s">
        <v>11</v>
      </c>
      <c r="X3" s="1" t="s">
        <v>53</v>
      </c>
      <c r="Y3" s="1" t="s">
        <v>3</v>
      </c>
      <c r="Z3" s="1" t="s">
        <v>4</v>
      </c>
      <c r="AA3" s="1" t="s">
        <v>5</v>
      </c>
      <c r="AB3" s="1" t="s">
        <v>6</v>
      </c>
      <c r="AC3" s="1" t="s">
        <v>13</v>
      </c>
      <c r="AD3" s="1" t="s">
        <v>8</v>
      </c>
      <c r="AE3" s="1" t="s">
        <v>9</v>
      </c>
      <c r="AF3" s="1" t="s">
        <v>10</v>
      </c>
      <c r="AG3" s="1" t="s">
        <v>11</v>
      </c>
    </row>
    <row r="4" spans="1:33" x14ac:dyDescent="0.35">
      <c r="A4">
        <v>1</v>
      </c>
      <c r="B4">
        <v>846329</v>
      </c>
      <c r="C4">
        <v>4801</v>
      </c>
      <c r="D4">
        <v>0.56727348347982876</v>
      </c>
      <c r="E4">
        <v>56.329930775548519</v>
      </c>
      <c r="F4">
        <v>0.75561457787567421</v>
      </c>
      <c r="G4">
        <v>0.94344476683300882</v>
      </c>
      <c r="H4">
        <v>0.80576995695940101</v>
      </c>
      <c r="I4">
        <v>0.79162833149145495</v>
      </c>
      <c r="J4">
        <v>4.2552715553055183E-2</v>
      </c>
      <c r="L4">
        <v>1</v>
      </c>
      <c r="M4">
        <v>194712</v>
      </c>
      <c r="N4">
        <v>1569</v>
      </c>
      <c r="O4">
        <v>0.80580549734993212</v>
      </c>
      <c r="P4">
        <v>52.14356929212363</v>
      </c>
      <c r="Q4">
        <v>0.75561609010069875</v>
      </c>
      <c r="R4">
        <v>0.93262008884405778</v>
      </c>
      <c r="S4">
        <v>0.80218389767645937</v>
      </c>
      <c r="T4">
        <v>0.78546577645397053</v>
      </c>
      <c r="U4">
        <v>4.2273664288004623E-2</v>
      </c>
      <c r="X4">
        <v>1</v>
      </c>
      <c r="Y4">
        <v>97817</v>
      </c>
      <c r="Z4">
        <v>385</v>
      </c>
      <c r="AA4">
        <v>0.39359211588987603</v>
      </c>
      <c r="AB4">
        <v>46.218487394957982</v>
      </c>
      <c r="AC4">
        <v>0.75561665258588318</v>
      </c>
      <c r="AD4">
        <v>0.91586958638031646</v>
      </c>
      <c r="AE4">
        <v>0.80231203862667888</v>
      </c>
      <c r="AF4">
        <v>0.78695824791895708</v>
      </c>
      <c r="AG4">
        <v>4.0170255577304928E-2</v>
      </c>
    </row>
    <row r="5" spans="1:33" x14ac:dyDescent="0.35">
      <c r="A5">
        <v>2</v>
      </c>
      <c r="B5">
        <v>846329</v>
      </c>
      <c r="C5">
        <v>1941</v>
      </c>
      <c r="D5">
        <v>0.22934343499986409</v>
      </c>
      <c r="E5">
        <v>22.773671242520241</v>
      </c>
      <c r="F5">
        <v>0.62102359620907199</v>
      </c>
      <c r="G5">
        <v>0.75561437699236977</v>
      </c>
      <c r="H5">
        <v>0.69788814076583194</v>
      </c>
      <c r="I5">
        <v>0.70254155672648311</v>
      </c>
      <c r="J5">
        <v>3.7513169577160638E-2</v>
      </c>
      <c r="L5">
        <v>2</v>
      </c>
      <c r="M5">
        <v>206001</v>
      </c>
      <c r="N5">
        <v>966</v>
      </c>
      <c r="O5">
        <v>0.46892976247688117</v>
      </c>
      <c r="P5">
        <v>32.103688933200402</v>
      </c>
      <c r="Q5">
        <v>0.62102400544065628</v>
      </c>
      <c r="R5">
        <v>0.75561407566676875</v>
      </c>
      <c r="S5">
        <v>0.69734300186085163</v>
      </c>
      <c r="T5">
        <v>0.70230828833871939</v>
      </c>
      <c r="U5">
        <v>3.7517729510837747E-2</v>
      </c>
      <c r="X5">
        <v>2</v>
      </c>
      <c r="Y5">
        <v>113683</v>
      </c>
      <c r="Z5">
        <v>247</v>
      </c>
      <c r="AA5">
        <v>0.21727083205052641</v>
      </c>
      <c r="AB5">
        <v>29.651860744297721</v>
      </c>
      <c r="AC5">
        <v>0.62102754872243304</v>
      </c>
      <c r="AD5">
        <v>0.75561197373626665</v>
      </c>
      <c r="AE5">
        <v>0.69616897599001371</v>
      </c>
      <c r="AF5">
        <v>0.69927224439838198</v>
      </c>
      <c r="AG5">
        <v>3.7084988871911827E-2</v>
      </c>
    </row>
    <row r="6" spans="1:33" x14ac:dyDescent="0.35">
      <c r="A6">
        <v>3</v>
      </c>
      <c r="B6">
        <v>846329</v>
      </c>
      <c r="C6">
        <v>1084</v>
      </c>
      <c r="D6">
        <v>0.1280825778154831</v>
      </c>
      <c r="E6">
        <v>12.71852634049044</v>
      </c>
      <c r="F6">
        <v>0.48054704660067632</v>
      </c>
      <c r="G6">
        <v>0.62102327202542962</v>
      </c>
      <c r="H6">
        <v>0.55870799358067336</v>
      </c>
      <c r="I6">
        <v>0.56732847836336453</v>
      </c>
      <c r="J6">
        <v>3.671689526453259E-2</v>
      </c>
      <c r="L6">
        <v>3</v>
      </c>
      <c r="M6">
        <v>205048</v>
      </c>
      <c r="N6">
        <v>327</v>
      </c>
      <c r="O6">
        <v>0.15947485466817529</v>
      </c>
      <c r="P6">
        <v>10.867397806580261</v>
      </c>
      <c r="Q6">
        <v>0.48054974287991109</v>
      </c>
      <c r="R6">
        <v>0.62101881482956589</v>
      </c>
      <c r="S6">
        <v>0.55561414936677878</v>
      </c>
      <c r="T6">
        <v>0.56405560649041597</v>
      </c>
      <c r="U6">
        <v>3.7096434373078031E-2</v>
      </c>
      <c r="X6">
        <v>3</v>
      </c>
      <c r="Y6">
        <v>105887</v>
      </c>
      <c r="Z6">
        <v>129</v>
      </c>
      <c r="AA6">
        <v>0.121827986438373</v>
      </c>
      <c r="AB6">
        <v>15.48619447779112</v>
      </c>
      <c r="AC6">
        <v>0.48055172653795869</v>
      </c>
      <c r="AD6">
        <v>0.62102303443631768</v>
      </c>
      <c r="AE6">
        <v>0.56750159832045699</v>
      </c>
      <c r="AF6">
        <v>0.57452509565161924</v>
      </c>
      <c r="AG6">
        <v>3.2925812989656321E-2</v>
      </c>
    </row>
    <row r="7" spans="1:33" x14ac:dyDescent="0.35">
      <c r="A7">
        <v>4</v>
      </c>
      <c r="B7">
        <v>846329</v>
      </c>
      <c r="C7">
        <v>460</v>
      </c>
      <c r="D7">
        <v>5.4352385419854453E-2</v>
      </c>
      <c r="E7">
        <v>5.3971606241933587</v>
      </c>
      <c r="F7">
        <v>0.13677088681848801</v>
      </c>
      <c r="G7">
        <v>0.48054704660067632</v>
      </c>
      <c r="H7">
        <v>0.31201778473932518</v>
      </c>
      <c r="I7">
        <v>0.32188925305476118</v>
      </c>
      <c r="J7">
        <v>0.12233699827579431</v>
      </c>
      <c r="L7">
        <v>4</v>
      </c>
      <c r="M7">
        <v>157014</v>
      </c>
      <c r="N7">
        <v>112</v>
      </c>
      <c r="O7">
        <v>7.1331218872202479E-2</v>
      </c>
      <c r="P7">
        <v>3.7221668328348292</v>
      </c>
      <c r="Q7">
        <v>0.13677088681848801</v>
      </c>
      <c r="R7">
        <v>0.48054096215194381</v>
      </c>
      <c r="S7">
        <v>0.35582097264179868</v>
      </c>
      <c r="T7">
        <v>0.36600916518398052</v>
      </c>
      <c r="U7">
        <v>0.10406278595149369</v>
      </c>
      <c r="X7">
        <v>4</v>
      </c>
      <c r="Y7">
        <v>97840</v>
      </c>
      <c r="Z7">
        <v>61</v>
      </c>
      <c r="AA7">
        <v>6.2346688470973022E-2</v>
      </c>
      <c r="AB7">
        <v>7.3229291716686671</v>
      </c>
      <c r="AC7">
        <v>0.13677088681848801</v>
      </c>
      <c r="AD7">
        <v>0.48054368754604121</v>
      </c>
      <c r="AE7">
        <v>0.35154205963350288</v>
      </c>
      <c r="AF7">
        <v>0.36720476698810522</v>
      </c>
      <c r="AG7">
        <v>0.11142357793434771</v>
      </c>
    </row>
    <row r="8" spans="1:33" x14ac:dyDescent="0.35">
      <c r="A8">
        <v>5</v>
      </c>
      <c r="B8">
        <v>846329</v>
      </c>
      <c r="C8">
        <v>117</v>
      </c>
      <c r="D8">
        <v>1.382441107418037E-2</v>
      </c>
      <c r="E8">
        <v>1.3727560718057019</v>
      </c>
      <c r="F8">
        <v>8.2407102321276515E-2</v>
      </c>
      <c r="G8">
        <v>0.13677088681848801</v>
      </c>
      <c r="H8">
        <v>0.1036518713853785</v>
      </c>
      <c r="I8">
        <v>9.8627288851611775E-2</v>
      </c>
      <c r="J8">
        <v>1.6232630748215241E-2</v>
      </c>
      <c r="L8">
        <v>5</v>
      </c>
      <c r="M8">
        <v>96790</v>
      </c>
      <c r="N8">
        <v>8</v>
      </c>
      <c r="O8">
        <v>8.265316664944726E-3</v>
      </c>
      <c r="P8">
        <v>0.26586905948820211</v>
      </c>
      <c r="Q8">
        <v>8.2407102321276515E-2</v>
      </c>
      <c r="R8">
        <v>0.13672770670899281</v>
      </c>
      <c r="S8">
        <v>9.755412131268032E-2</v>
      </c>
      <c r="T8">
        <v>9.1750753255204584E-2</v>
      </c>
      <c r="U8">
        <v>1.469927622934282E-2</v>
      </c>
      <c r="X8">
        <v>5</v>
      </c>
      <c r="Y8">
        <v>40520</v>
      </c>
      <c r="Z8">
        <v>4</v>
      </c>
      <c r="AA8">
        <v>9.8716683119447184E-3</v>
      </c>
      <c r="AB8">
        <v>0.48019207683073228</v>
      </c>
      <c r="AC8">
        <v>8.2407102321276515E-2</v>
      </c>
      <c r="AD8">
        <v>0.13673627316754161</v>
      </c>
      <c r="AE8">
        <v>9.8842442935457381E-2</v>
      </c>
      <c r="AF8">
        <v>9.0629189786293293E-2</v>
      </c>
      <c r="AG8">
        <v>1.6743602374131569E-2</v>
      </c>
    </row>
    <row r="9" spans="1:33" x14ac:dyDescent="0.35">
      <c r="A9">
        <v>6</v>
      </c>
      <c r="B9">
        <v>846329</v>
      </c>
      <c r="C9">
        <v>51</v>
      </c>
      <c r="D9">
        <v>6.0260253400273413E-3</v>
      </c>
      <c r="E9">
        <v>0.59838085181274192</v>
      </c>
      <c r="F9">
        <v>6.2116704461251997E-2</v>
      </c>
      <c r="G9">
        <v>8.2407102321276515E-2</v>
      </c>
      <c r="H9">
        <v>6.8822545550936559E-2</v>
      </c>
      <c r="I9">
        <v>6.7121567523268505E-2</v>
      </c>
      <c r="J9">
        <v>5.7701743231217857E-3</v>
      </c>
      <c r="L9">
        <v>6</v>
      </c>
      <c r="M9">
        <v>188291</v>
      </c>
      <c r="N9">
        <v>11</v>
      </c>
      <c r="O9">
        <v>5.8420211268727668E-3</v>
      </c>
      <c r="P9">
        <v>0.36556995679627791</v>
      </c>
      <c r="Q9">
        <v>6.2116704461251997E-2</v>
      </c>
      <c r="R9">
        <v>8.2406410676648764E-2</v>
      </c>
      <c r="S9">
        <v>6.7980442717759826E-2</v>
      </c>
      <c r="T9">
        <v>6.6257099630318353E-2</v>
      </c>
      <c r="U9">
        <v>5.4001856730602187E-3</v>
      </c>
      <c r="X9">
        <v>6</v>
      </c>
      <c r="Y9">
        <v>94749</v>
      </c>
      <c r="Z9">
        <v>0</v>
      </c>
      <c r="AA9">
        <v>0</v>
      </c>
      <c r="AB9">
        <v>0</v>
      </c>
      <c r="AC9">
        <v>6.2116704461251997E-2</v>
      </c>
      <c r="AD9">
        <v>8.2406410676648764E-2</v>
      </c>
      <c r="AE9">
        <v>6.8036922565830063E-2</v>
      </c>
      <c r="AF9">
        <v>6.6600683553912271E-2</v>
      </c>
      <c r="AG9">
        <v>5.3328938975378878E-3</v>
      </c>
    </row>
    <row r="10" spans="1:33" x14ac:dyDescent="0.35">
      <c r="A10">
        <v>7</v>
      </c>
      <c r="B10">
        <v>846329</v>
      </c>
      <c r="C10">
        <v>33</v>
      </c>
      <c r="D10">
        <v>3.8991928670765149E-3</v>
      </c>
      <c r="E10">
        <v>0.38718760999648011</v>
      </c>
      <c r="F10">
        <v>5.6170580448250081E-2</v>
      </c>
      <c r="G10">
        <v>6.2116704461251997E-2</v>
      </c>
      <c r="H10">
        <v>5.9931665830779232E-2</v>
      </c>
      <c r="I10">
        <v>6.0439566703522421E-2</v>
      </c>
      <c r="J10">
        <v>1.880021200454972E-3</v>
      </c>
      <c r="L10">
        <v>7</v>
      </c>
      <c r="M10">
        <v>214727</v>
      </c>
      <c r="N10">
        <v>5</v>
      </c>
      <c r="O10">
        <v>2.3285380972118078E-3</v>
      </c>
      <c r="P10">
        <v>0.16616816218012631</v>
      </c>
      <c r="Q10">
        <v>5.6170580448250081E-2</v>
      </c>
      <c r="R10">
        <v>6.2111890807001281E-2</v>
      </c>
      <c r="S10">
        <v>6.0058806577630082E-2</v>
      </c>
      <c r="T10">
        <v>6.0531278407608739E-2</v>
      </c>
      <c r="U10">
        <v>1.778197574473139E-3</v>
      </c>
      <c r="X10">
        <v>7</v>
      </c>
      <c r="Y10">
        <v>106210</v>
      </c>
      <c r="Z10">
        <v>4</v>
      </c>
      <c r="AA10">
        <v>3.766123717164109E-3</v>
      </c>
      <c r="AB10">
        <v>0.48019207683073228</v>
      </c>
      <c r="AC10">
        <v>5.6170580448250081E-2</v>
      </c>
      <c r="AD10">
        <v>6.2111890807001281E-2</v>
      </c>
      <c r="AE10">
        <v>6.0014045836904728E-2</v>
      </c>
      <c r="AF10">
        <v>6.0758105529532397E-2</v>
      </c>
      <c r="AG10">
        <v>1.6910584898973239E-3</v>
      </c>
    </row>
    <row r="11" spans="1:33" x14ac:dyDescent="0.35">
      <c r="A11">
        <v>8</v>
      </c>
      <c r="B11">
        <v>846328</v>
      </c>
      <c r="C11">
        <v>16</v>
      </c>
      <c r="D11">
        <v>1.8905199875225681E-3</v>
      </c>
      <c r="E11">
        <v>0.18772732605889941</v>
      </c>
      <c r="F11">
        <v>4.6868985340022998E-2</v>
      </c>
      <c r="G11">
        <v>5.6170580448250081E-2</v>
      </c>
      <c r="H11">
        <v>4.9667548425874668E-2</v>
      </c>
      <c r="I11">
        <v>4.8973717802757458E-2</v>
      </c>
      <c r="J11">
        <v>2.7260332159794801E-3</v>
      </c>
      <c r="L11">
        <v>8</v>
      </c>
      <c r="M11">
        <v>226745</v>
      </c>
      <c r="N11">
        <v>5</v>
      </c>
      <c r="O11">
        <v>2.2051202893117821E-3</v>
      </c>
      <c r="P11">
        <v>0.16616816218012631</v>
      </c>
      <c r="Q11">
        <v>4.6868985340022998E-2</v>
      </c>
      <c r="R11">
        <v>5.6147858926687062E-2</v>
      </c>
      <c r="S11">
        <v>4.9542006525536399E-2</v>
      </c>
      <c r="T11">
        <v>4.8973717802757458E-2</v>
      </c>
      <c r="U11">
        <v>2.6920125435592381E-3</v>
      </c>
      <c r="X11">
        <v>8</v>
      </c>
      <c r="Y11">
        <v>117148</v>
      </c>
      <c r="Z11">
        <v>3</v>
      </c>
      <c r="AA11">
        <v>2.5608631816164168E-3</v>
      </c>
      <c r="AB11">
        <v>0.36014405762304919</v>
      </c>
      <c r="AC11">
        <v>4.6868985340022998E-2</v>
      </c>
      <c r="AD11">
        <v>5.6147858926687062E-2</v>
      </c>
      <c r="AE11">
        <v>4.9627504846816238E-2</v>
      </c>
      <c r="AF11">
        <v>4.8973717802757458E-2</v>
      </c>
      <c r="AG11">
        <v>2.7590172876359128E-3</v>
      </c>
    </row>
    <row r="12" spans="1:33" x14ac:dyDescent="0.35">
      <c r="A12">
        <v>9</v>
      </c>
      <c r="B12">
        <v>846328</v>
      </c>
      <c r="C12">
        <v>20</v>
      </c>
      <c r="D12">
        <v>2.3631499844032101E-3</v>
      </c>
      <c r="E12">
        <v>0.23465915757362429</v>
      </c>
      <c r="F12">
        <v>4.1622462832300727E-2</v>
      </c>
      <c r="G12">
        <v>4.6868985340022998E-2</v>
      </c>
      <c r="H12">
        <v>4.4512620746946119E-2</v>
      </c>
      <c r="I12">
        <v>4.4499021997613422E-2</v>
      </c>
      <c r="J12">
        <v>1.1271574561537161E-3</v>
      </c>
      <c r="L12">
        <v>9</v>
      </c>
      <c r="M12">
        <v>234154</v>
      </c>
      <c r="N12">
        <v>4</v>
      </c>
      <c r="O12">
        <v>1.7082774584247971E-3</v>
      </c>
      <c r="P12">
        <v>0.132934529744101</v>
      </c>
      <c r="Q12">
        <v>4.1622462832300727E-2</v>
      </c>
      <c r="R12">
        <v>4.6864276263982207E-2</v>
      </c>
      <c r="S12">
        <v>4.4228023660368113E-2</v>
      </c>
      <c r="T12">
        <v>4.4499021997613422E-2</v>
      </c>
      <c r="U12">
        <v>1.282156741355207E-3</v>
      </c>
      <c r="X12">
        <v>9</v>
      </c>
      <c r="Y12">
        <v>118035</v>
      </c>
      <c r="Z12">
        <v>0</v>
      </c>
      <c r="AA12">
        <v>0</v>
      </c>
      <c r="AB12">
        <v>0</v>
      </c>
      <c r="AC12">
        <v>4.1622462832300727E-2</v>
      </c>
      <c r="AD12">
        <v>4.6840191034100608E-2</v>
      </c>
      <c r="AE12">
        <v>4.418540918305229E-2</v>
      </c>
      <c r="AF12">
        <v>4.4499021997613422E-2</v>
      </c>
      <c r="AG12">
        <v>1.311278996357852E-3</v>
      </c>
    </row>
    <row r="13" spans="1:33" x14ac:dyDescent="0.35">
      <c r="A13">
        <v>10</v>
      </c>
      <c r="B13">
        <v>846328</v>
      </c>
      <c r="C13">
        <v>0</v>
      </c>
      <c r="D13">
        <v>0</v>
      </c>
      <c r="E13">
        <v>0</v>
      </c>
      <c r="F13">
        <v>2.177291925994463E-2</v>
      </c>
      <c r="G13">
        <v>4.1622462832300727E-2</v>
      </c>
      <c r="H13">
        <v>3.5427049070783118E-2</v>
      </c>
      <c r="I13">
        <v>3.7926266355368013E-2</v>
      </c>
      <c r="J13">
        <v>6.2481161709955048E-3</v>
      </c>
      <c r="L13">
        <v>10</v>
      </c>
      <c r="M13">
        <v>235114</v>
      </c>
      <c r="N13">
        <v>2</v>
      </c>
      <c r="O13">
        <v>8.506511734732939E-4</v>
      </c>
      <c r="P13">
        <v>6.6467264872050513E-2</v>
      </c>
      <c r="Q13">
        <v>2.177291925994463E-2</v>
      </c>
      <c r="R13">
        <v>4.1619771548054532E-2</v>
      </c>
      <c r="S13">
        <v>3.516748663658039E-2</v>
      </c>
      <c r="T13">
        <v>3.6192568915098887E-2</v>
      </c>
      <c r="U13">
        <v>6.2448961330054328E-3</v>
      </c>
      <c r="X13">
        <v>10</v>
      </c>
      <c r="Y13">
        <v>122951</v>
      </c>
      <c r="Z13">
        <v>0</v>
      </c>
      <c r="AA13">
        <v>0</v>
      </c>
      <c r="AB13">
        <v>0</v>
      </c>
      <c r="AC13">
        <v>2.177291925994463E-2</v>
      </c>
      <c r="AD13">
        <v>4.1615515182298959E-2</v>
      </c>
      <c r="AE13">
        <v>3.5258791301164528E-2</v>
      </c>
      <c r="AF13">
        <v>3.6807482966249999E-2</v>
      </c>
      <c r="AG13">
        <v>6.2423172559534284E-3</v>
      </c>
    </row>
    <row r="16" spans="1:33" x14ac:dyDescent="0.35">
      <c r="A16" t="s">
        <v>49</v>
      </c>
      <c r="B16" t="s">
        <v>74</v>
      </c>
    </row>
    <row r="17" spans="1:33" x14ac:dyDescent="0.35">
      <c r="A17" t="s">
        <v>50</v>
      </c>
      <c r="L17" t="s">
        <v>51</v>
      </c>
      <c r="X17" t="s">
        <v>52</v>
      </c>
    </row>
    <row r="18" spans="1:33" x14ac:dyDescent="0.35">
      <c r="A18" s="1" t="s">
        <v>53</v>
      </c>
      <c r="B18" s="1" t="s">
        <v>3</v>
      </c>
      <c r="C18" s="1" t="s">
        <v>4</v>
      </c>
      <c r="D18" s="1" t="s">
        <v>5</v>
      </c>
      <c r="E18" s="1" t="s">
        <v>6</v>
      </c>
      <c r="F18" s="1" t="s">
        <v>13</v>
      </c>
      <c r="G18" s="1" t="s">
        <v>8</v>
      </c>
      <c r="H18" s="1" t="s">
        <v>9</v>
      </c>
      <c r="I18" s="1" t="s">
        <v>10</v>
      </c>
      <c r="J18" s="1" t="s">
        <v>11</v>
      </c>
      <c r="L18" s="1" t="s">
        <v>53</v>
      </c>
      <c r="M18" s="1" t="s">
        <v>3</v>
      </c>
      <c r="N18" s="1" t="s">
        <v>4</v>
      </c>
      <c r="O18" s="1" t="s">
        <v>5</v>
      </c>
      <c r="P18" s="1" t="s">
        <v>6</v>
      </c>
      <c r="Q18" s="1" t="s">
        <v>13</v>
      </c>
      <c r="R18" s="1" t="s">
        <v>8</v>
      </c>
      <c r="S18" s="1" t="s">
        <v>9</v>
      </c>
      <c r="T18" s="1" t="s">
        <v>10</v>
      </c>
      <c r="U18" s="1" t="s">
        <v>11</v>
      </c>
      <c r="X18" s="1" t="s">
        <v>53</v>
      </c>
      <c r="Y18" s="1" t="s">
        <v>3</v>
      </c>
      <c r="Z18" s="1" t="s">
        <v>4</v>
      </c>
      <c r="AA18" s="1" t="s">
        <v>5</v>
      </c>
      <c r="AB18" s="1" t="s">
        <v>6</v>
      </c>
      <c r="AC18" s="1" t="s">
        <v>13</v>
      </c>
      <c r="AD18" s="1" t="s">
        <v>8</v>
      </c>
      <c r="AE18" s="1" t="s">
        <v>9</v>
      </c>
      <c r="AF18" s="1" t="s">
        <v>10</v>
      </c>
      <c r="AG18" s="1" t="s">
        <v>11</v>
      </c>
    </row>
    <row r="19" spans="1:33" x14ac:dyDescent="0.35">
      <c r="A19">
        <v>1</v>
      </c>
      <c r="B19">
        <v>846329</v>
      </c>
      <c r="C19">
        <v>6660</v>
      </c>
      <c r="D19">
        <v>0.78692801499180587</v>
      </c>
      <c r="E19">
        <v>78.141499472016889</v>
      </c>
      <c r="F19">
        <v>0.68711364269256592</v>
      </c>
      <c r="G19">
        <v>0.99481850862503052</v>
      </c>
      <c r="H19">
        <v>0.77742284536361694</v>
      </c>
      <c r="I19">
        <v>0.7680966854095459</v>
      </c>
      <c r="J19">
        <v>6.0593336820602417E-2</v>
      </c>
      <c r="L19">
        <v>1</v>
      </c>
      <c r="M19">
        <v>186478</v>
      </c>
      <c r="N19">
        <v>1370</v>
      </c>
      <c r="O19">
        <v>0.73467111401881191</v>
      </c>
      <c r="P19">
        <v>45.530076437354609</v>
      </c>
      <c r="Q19">
        <v>0.68711370229721069</v>
      </c>
      <c r="R19">
        <v>0.97936022281646729</v>
      </c>
      <c r="S19">
        <v>0.77271413803100586</v>
      </c>
      <c r="T19">
        <v>0.76413041353225708</v>
      </c>
      <c r="U19">
        <v>5.7150270789861679E-2</v>
      </c>
      <c r="X19">
        <v>1</v>
      </c>
      <c r="Y19">
        <v>71263</v>
      </c>
      <c r="Z19">
        <v>296</v>
      </c>
      <c r="AA19">
        <v>0.41536281099588851</v>
      </c>
      <c r="AB19">
        <v>35.534213685474192</v>
      </c>
      <c r="AC19">
        <v>0.68711692094802856</v>
      </c>
      <c r="AD19">
        <v>0.98371511697769165</v>
      </c>
      <c r="AE19">
        <v>0.76233577728271484</v>
      </c>
      <c r="AF19">
        <v>0.75227534770965576</v>
      </c>
      <c r="AG19">
        <v>5.3459808230400092E-2</v>
      </c>
    </row>
    <row r="20" spans="1:33" x14ac:dyDescent="0.35">
      <c r="A20">
        <v>2</v>
      </c>
      <c r="B20">
        <v>846329</v>
      </c>
      <c r="C20">
        <v>1188</v>
      </c>
      <c r="D20">
        <v>0.14037094321475449</v>
      </c>
      <c r="E20">
        <v>13.93875395987329</v>
      </c>
      <c r="F20">
        <v>0.53812944889068604</v>
      </c>
      <c r="G20">
        <v>0.68711322546005249</v>
      </c>
      <c r="H20">
        <v>0.60898274183273315</v>
      </c>
      <c r="I20">
        <v>0.60494059324264526</v>
      </c>
      <c r="J20">
        <v>4.255332425236702E-2</v>
      </c>
      <c r="L20">
        <v>2</v>
      </c>
      <c r="M20">
        <v>204048</v>
      </c>
      <c r="N20">
        <v>763</v>
      </c>
      <c r="O20">
        <v>0.37393162393162388</v>
      </c>
      <c r="P20">
        <v>25.357261548687269</v>
      </c>
      <c r="Q20">
        <v>0.53812944889068604</v>
      </c>
      <c r="R20">
        <v>0.68711352348327637</v>
      </c>
      <c r="S20">
        <v>0.60744577646255493</v>
      </c>
      <c r="T20">
        <v>0.60258305072784424</v>
      </c>
      <c r="U20">
        <v>4.2568400502204902E-2</v>
      </c>
      <c r="X20">
        <v>2</v>
      </c>
      <c r="Y20">
        <v>114750</v>
      </c>
      <c r="Z20">
        <v>229</v>
      </c>
      <c r="AA20">
        <v>0.19956427015250541</v>
      </c>
      <c r="AB20">
        <v>27.490996398559421</v>
      </c>
      <c r="AC20">
        <v>0.53812944889068604</v>
      </c>
      <c r="AD20">
        <v>0.68711316585540771</v>
      </c>
      <c r="AE20">
        <v>0.60714679956436157</v>
      </c>
      <c r="AF20">
        <v>0.60159224271774292</v>
      </c>
      <c r="AG20">
        <v>4.2050972580909729E-2</v>
      </c>
    </row>
    <row r="21" spans="1:33" x14ac:dyDescent="0.35">
      <c r="A21">
        <v>3</v>
      </c>
      <c r="B21">
        <v>846329</v>
      </c>
      <c r="C21">
        <v>357</v>
      </c>
      <c r="D21">
        <v>4.2182177380191387E-2</v>
      </c>
      <c r="E21">
        <v>4.1886659626891936</v>
      </c>
      <c r="F21">
        <v>0.35049420595169067</v>
      </c>
      <c r="G21">
        <v>0.53812944889068604</v>
      </c>
      <c r="H21">
        <v>0.45697250962257391</v>
      </c>
      <c r="I21">
        <v>0.46818843483924871</v>
      </c>
      <c r="J21">
        <v>5.4745744913816452E-2</v>
      </c>
      <c r="L21">
        <v>3</v>
      </c>
      <c r="M21">
        <v>207709</v>
      </c>
      <c r="N21">
        <v>518</v>
      </c>
      <c r="O21">
        <v>0.24938736405259279</v>
      </c>
      <c r="P21">
        <v>17.215021601861078</v>
      </c>
      <c r="Q21">
        <v>0.35049477219581598</v>
      </c>
      <c r="R21">
        <v>0.53812772035598755</v>
      </c>
      <c r="S21">
        <v>0.45632192492485052</v>
      </c>
      <c r="T21">
        <v>0.46874076128005981</v>
      </c>
      <c r="U21">
        <v>5.6028548628091812E-2</v>
      </c>
      <c r="X21">
        <v>3</v>
      </c>
      <c r="Y21">
        <v>111690</v>
      </c>
      <c r="Z21">
        <v>177</v>
      </c>
      <c r="AA21">
        <v>0.15847434864356699</v>
      </c>
      <c r="AB21">
        <v>21.248499399759901</v>
      </c>
      <c r="AC21">
        <v>0.35049477219581598</v>
      </c>
      <c r="AD21">
        <v>0.53812694549560547</v>
      </c>
      <c r="AE21">
        <v>0.45556849241256708</v>
      </c>
      <c r="AF21">
        <v>0.46714127063751221</v>
      </c>
      <c r="AG21">
        <v>5.5274926126003272E-2</v>
      </c>
    </row>
    <row r="22" spans="1:33" x14ac:dyDescent="0.35">
      <c r="A22">
        <v>4</v>
      </c>
      <c r="B22">
        <v>846329</v>
      </c>
      <c r="C22">
        <v>186</v>
      </c>
      <c r="D22">
        <v>2.1977268887158539E-2</v>
      </c>
      <c r="E22">
        <v>2.1823301654347058</v>
      </c>
      <c r="F22">
        <v>0.14628712832927701</v>
      </c>
      <c r="G22">
        <v>0.35049420595169067</v>
      </c>
      <c r="H22">
        <v>0.23352336883544919</v>
      </c>
      <c r="I22">
        <v>0.21990492939949041</v>
      </c>
      <c r="J22">
        <v>6.2032926827669137E-2</v>
      </c>
      <c r="L22">
        <v>4</v>
      </c>
      <c r="M22">
        <v>146492</v>
      </c>
      <c r="N22">
        <v>236</v>
      </c>
      <c r="O22">
        <v>0.1611009474920132</v>
      </c>
      <c r="P22">
        <v>7.8431372549019596</v>
      </c>
      <c r="Q22">
        <v>0.14628712832927701</v>
      </c>
      <c r="R22">
        <v>0.35049232840538019</v>
      </c>
      <c r="S22">
        <v>0.25338119268417358</v>
      </c>
      <c r="T22">
        <v>0.26106810569763178</v>
      </c>
      <c r="U22">
        <v>6.1553839594125748E-2</v>
      </c>
      <c r="X22">
        <v>4</v>
      </c>
      <c r="Y22">
        <v>98900</v>
      </c>
      <c r="Z22">
        <v>94</v>
      </c>
      <c r="AA22">
        <v>9.5045500505561181E-2</v>
      </c>
      <c r="AB22">
        <v>11.284513805522209</v>
      </c>
      <c r="AC22">
        <v>0.14628712832927701</v>
      </c>
      <c r="AD22">
        <v>0.35049352049827581</v>
      </c>
      <c r="AE22">
        <v>0.24428115785121921</v>
      </c>
      <c r="AF22">
        <v>0.23904892802238459</v>
      </c>
      <c r="AG22">
        <v>6.1679348349571228E-2</v>
      </c>
    </row>
    <row r="23" spans="1:33" x14ac:dyDescent="0.35">
      <c r="A23">
        <v>5</v>
      </c>
      <c r="B23">
        <v>846329</v>
      </c>
      <c r="C23">
        <v>86</v>
      </c>
      <c r="D23">
        <v>1.016153292632062E-2</v>
      </c>
      <c r="E23">
        <v>1.0090343775665851</v>
      </c>
      <c r="F23">
        <v>7.6414063572883606E-2</v>
      </c>
      <c r="G23">
        <v>0.14628712832927701</v>
      </c>
      <c r="H23">
        <v>0.10508950799703599</v>
      </c>
      <c r="I23">
        <v>0.1046224907040596</v>
      </c>
      <c r="J23">
        <v>1.9106758758425709E-2</v>
      </c>
      <c r="L23">
        <v>5</v>
      </c>
      <c r="M23">
        <v>148517</v>
      </c>
      <c r="N23">
        <v>59</v>
      </c>
      <c r="O23">
        <v>3.9726091962536278E-2</v>
      </c>
      <c r="P23">
        <v>1.9607843137254899</v>
      </c>
      <c r="Q23">
        <v>7.6414063572883606E-2</v>
      </c>
      <c r="R23">
        <v>0.1462840139865875</v>
      </c>
      <c r="S23">
        <v>0.1024800762534142</v>
      </c>
      <c r="T23">
        <v>9.9806852638721466E-2</v>
      </c>
      <c r="U23">
        <v>1.849982887506485E-2</v>
      </c>
      <c r="X23">
        <v>5</v>
      </c>
      <c r="Y23">
        <v>82640</v>
      </c>
      <c r="Z23">
        <v>16</v>
      </c>
      <c r="AA23">
        <v>1.9361084220716359E-2</v>
      </c>
      <c r="AB23">
        <v>1.9207683073229289</v>
      </c>
      <c r="AC23">
        <v>7.6414063572883606E-2</v>
      </c>
      <c r="AD23">
        <v>0.1462823003530502</v>
      </c>
      <c r="AE23">
        <v>9.8964102566242218E-2</v>
      </c>
      <c r="AF23">
        <v>9.3758612871170044E-2</v>
      </c>
      <c r="AG23">
        <v>1.9803727045655251E-2</v>
      </c>
    </row>
    <row r="24" spans="1:33" x14ac:dyDescent="0.35">
      <c r="A24">
        <v>6</v>
      </c>
      <c r="B24">
        <v>846329</v>
      </c>
      <c r="C24">
        <v>40</v>
      </c>
      <c r="D24">
        <v>4.7262943843351694E-3</v>
      </c>
      <c r="E24">
        <v>0.46931831514724859</v>
      </c>
      <c r="F24">
        <v>3.9217565208673477E-2</v>
      </c>
      <c r="G24">
        <v>7.6414063572883606E-2</v>
      </c>
      <c r="H24">
        <v>5.6553013622760773E-2</v>
      </c>
      <c r="I24">
        <v>5.5860966444015503E-2</v>
      </c>
      <c r="J24">
        <v>1.075558178126812E-2</v>
      </c>
      <c r="L24">
        <v>6</v>
      </c>
      <c r="M24">
        <v>207251</v>
      </c>
      <c r="N24">
        <v>32</v>
      </c>
      <c r="O24">
        <v>1.5440215004993939E-2</v>
      </c>
      <c r="P24">
        <v>1.063476237952808</v>
      </c>
      <c r="Q24">
        <v>3.9217565208673477E-2</v>
      </c>
      <c r="R24">
        <v>7.6410375535488129E-2</v>
      </c>
      <c r="S24">
        <v>5.5087614804506302E-2</v>
      </c>
      <c r="T24">
        <v>5.1712933927774429E-2</v>
      </c>
      <c r="U24">
        <v>1.0435260832309719E-2</v>
      </c>
      <c r="X24">
        <v>6</v>
      </c>
      <c r="Y24">
        <v>96970</v>
      </c>
      <c r="Z24">
        <v>9</v>
      </c>
      <c r="AA24">
        <v>9.2812209961843865E-3</v>
      </c>
      <c r="AB24">
        <v>1.0804321728691479</v>
      </c>
      <c r="AC24">
        <v>3.9217565208673477E-2</v>
      </c>
      <c r="AD24">
        <v>7.6413169503211975E-2</v>
      </c>
      <c r="AE24">
        <v>5.4787732660770423E-2</v>
      </c>
      <c r="AF24">
        <v>5.1584027707576752E-2</v>
      </c>
      <c r="AG24">
        <v>1.090828515589237E-2</v>
      </c>
    </row>
    <row r="25" spans="1:33" x14ac:dyDescent="0.35">
      <c r="A25">
        <v>7</v>
      </c>
      <c r="B25">
        <v>846329</v>
      </c>
      <c r="C25">
        <v>6</v>
      </c>
      <c r="D25">
        <v>7.0894415765027552E-4</v>
      </c>
      <c r="E25">
        <v>7.0397747272087294E-2</v>
      </c>
      <c r="F25">
        <v>1.651378907263279E-2</v>
      </c>
      <c r="G25">
        <v>3.9217565208673477E-2</v>
      </c>
      <c r="H25">
        <v>2.84291822463274E-2</v>
      </c>
      <c r="I25">
        <v>2.9330499470233921E-2</v>
      </c>
      <c r="J25">
        <v>6.91255833953619E-3</v>
      </c>
      <c r="L25">
        <v>7</v>
      </c>
      <c r="M25">
        <v>179241</v>
      </c>
      <c r="N25">
        <v>18</v>
      </c>
      <c r="O25">
        <v>1.0042345222354259E-2</v>
      </c>
      <c r="P25">
        <v>0.59820538384845467</v>
      </c>
      <c r="Q25">
        <v>1.651378907263279E-2</v>
      </c>
      <c r="R25">
        <v>3.9217442274093628E-2</v>
      </c>
      <c r="S25">
        <v>2.8155535459518429E-2</v>
      </c>
      <c r="T25">
        <v>2.9186869040131569E-2</v>
      </c>
      <c r="U25">
        <v>7.270139642059803E-3</v>
      </c>
      <c r="X25">
        <v>7</v>
      </c>
      <c r="Y25">
        <v>85245</v>
      </c>
      <c r="Z25">
        <v>6</v>
      </c>
      <c r="AA25">
        <v>7.0385359845152196E-3</v>
      </c>
      <c r="AB25">
        <v>0.72028811524609848</v>
      </c>
      <c r="AC25">
        <v>1.651378907263279E-2</v>
      </c>
      <c r="AD25">
        <v>3.9212178438901901E-2</v>
      </c>
      <c r="AE25">
        <v>2.7820903807878491E-2</v>
      </c>
      <c r="AF25">
        <v>2.9186869040131569E-2</v>
      </c>
      <c r="AG25">
        <v>6.9663007743656644E-3</v>
      </c>
    </row>
    <row r="26" spans="1:33" x14ac:dyDescent="0.35">
      <c r="A26">
        <v>8</v>
      </c>
      <c r="B26">
        <v>846328</v>
      </c>
      <c r="C26">
        <v>0</v>
      </c>
      <c r="D26">
        <v>0</v>
      </c>
      <c r="E26">
        <v>0</v>
      </c>
      <c r="F26">
        <v>4.6136630699038514E-3</v>
      </c>
      <c r="G26">
        <v>1.651378907263279E-2</v>
      </c>
      <c r="H26">
        <v>9.6319802105426788E-3</v>
      </c>
      <c r="I26">
        <v>9.3456609174609184E-3</v>
      </c>
      <c r="J26">
        <v>3.4274393692612648E-3</v>
      </c>
      <c r="L26">
        <v>8</v>
      </c>
      <c r="M26">
        <v>211539</v>
      </c>
      <c r="N26">
        <v>4</v>
      </c>
      <c r="O26">
        <v>1.890904277698202E-3</v>
      </c>
      <c r="P26">
        <v>0.132934529744101</v>
      </c>
      <c r="Q26">
        <v>4.6136630699038514E-3</v>
      </c>
      <c r="R26">
        <v>1.6512921079993251E-2</v>
      </c>
      <c r="S26">
        <v>9.8061952739953995E-3</v>
      </c>
      <c r="T26">
        <v>1.0128393769264219E-2</v>
      </c>
      <c r="U26">
        <v>3.5315311979502439E-3</v>
      </c>
      <c r="X26">
        <v>8</v>
      </c>
      <c r="Y26">
        <v>110664</v>
      </c>
      <c r="Z26">
        <v>5</v>
      </c>
      <c r="AA26">
        <v>4.5181811609918314E-3</v>
      </c>
      <c r="AB26">
        <v>0.60024009603841544</v>
      </c>
      <c r="AC26">
        <v>4.6136630699038514E-3</v>
      </c>
      <c r="AD26">
        <v>1.6508864238858219E-2</v>
      </c>
      <c r="AE26">
        <v>1.0011022910475729E-2</v>
      </c>
      <c r="AF26">
        <v>1.0233053937554359E-2</v>
      </c>
      <c r="AG26">
        <v>3.4551913850009441E-3</v>
      </c>
    </row>
    <row r="27" spans="1:33" x14ac:dyDescent="0.35">
      <c r="A27">
        <v>9</v>
      </c>
      <c r="B27">
        <v>846328</v>
      </c>
      <c r="C27">
        <v>0</v>
      </c>
      <c r="D27">
        <v>0</v>
      </c>
      <c r="E27">
        <v>0</v>
      </c>
      <c r="F27">
        <v>7.3122978210449219E-4</v>
      </c>
      <c r="G27">
        <v>4.6136630699038514E-3</v>
      </c>
      <c r="H27">
        <v>2.2202515974640851E-3</v>
      </c>
      <c r="I27">
        <v>1.773816882632673E-3</v>
      </c>
      <c r="J27">
        <v>1.239167875610292E-3</v>
      </c>
      <c r="L27">
        <v>9</v>
      </c>
      <c r="M27">
        <v>213320</v>
      </c>
      <c r="N27">
        <v>7</v>
      </c>
      <c r="O27">
        <v>3.2814550909431839E-3</v>
      </c>
      <c r="P27">
        <v>0.2326354270521768</v>
      </c>
      <c r="Q27">
        <v>7.3122978210449219E-4</v>
      </c>
      <c r="R27">
        <v>4.6135648153722286E-3</v>
      </c>
      <c r="S27">
        <v>2.0185112953186039E-3</v>
      </c>
      <c r="T27">
        <v>1.6595259075984361E-3</v>
      </c>
      <c r="U27">
        <v>1.1737359454855321E-3</v>
      </c>
      <c r="X27">
        <v>9</v>
      </c>
      <c r="Y27">
        <v>107102</v>
      </c>
      <c r="Z27">
        <v>0</v>
      </c>
      <c r="AA27">
        <v>0</v>
      </c>
      <c r="AB27">
        <v>0</v>
      </c>
      <c r="AC27">
        <v>7.3122978210449219E-4</v>
      </c>
      <c r="AD27">
        <v>4.6131922863423824E-3</v>
      </c>
      <c r="AE27">
        <v>2.0242745522409682E-3</v>
      </c>
      <c r="AF27">
        <v>1.683973241597414E-3</v>
      </c>
      <c r="AG27">
        <v>1.186930807307363E-3</v>
      </c>
    </row>
    <row r="28" spans="1:33" x14ac:dyDescent="0.35">
      <c r="A28">
        <v>10</v>
      </c>
      <c r="B28">
        <v>846328</v>
      </c>
      <c r="C28">
        <v>0</v>
      </c>
      <c r="D28">
        <v>0</v>
      </c>
      <c r="E28">
        <v>0</v>
      </c>
      <c r="F28">
        <v>8.6753078676338191E-7</v>
      </c>
      <c r="G28">
        <v>7.3122978210449219E-4</v>
      </c>
      <c r="H28">
        <v>3.0411183251999319E-4</v>
      </c>
      <c r="I28">
        <v>2.7049850905314088E-4</v>
      </c>
      <c r="J28">
        <v>2.3032444005366409E-4</v>
      </c>
      <c r="L28">
        <v>10</v>
      </c>
      <c r="M28">
        <v>254001</v>
      </c>
      <c r="N28">
        <v>2</v>
      </c>
      <c r="O28">
        <v>7.8739847480915426E-4</v>
      </c>
      <c r="P28">
        <v>6.6467264872050513E-2</v>
      </c>
      <c r="Q28">
        <v>3.469726266303041E-7</v>
      </c>
      <c r="R28">
        <v>7.3096540290862322E-4</v>
      </c>
      <c r="S28">
        <v>2.5946085224859422E-4</v>
      </c>
      <c r="T28">
        <v>2.0526626030914491E-4</v>
      </c>
      <c r="U28">
        <v>2.0284851780161259E-4</v>
      </c>
      <c r="X28">
        <v>10</v>
      </c>
      <c r="Y28">
        <v>135616</v>
      </c>
      <c r="Z28">
        <v>1</v>
      </c>
      <c r="AA28">
        <v>7.3737612081170361E-4</v>
      </c>
      <c r="AB28">
        <v>0.1200480192076831</v>
      </c>
      <c r="AC28">
        <v>5.4981995845082565E-7</v>
      </c>
      <c r="AD28">
        <v>7.3104130569845438E-4</v>
      </c>
      <c r="AE28">
        <v>2.567106275819242E-4</v>
      </c>
      <c r="AF28">
        <v>1.949785219039768E-4</v>
      </c>
      <c r="AG28">
        <v>2.0151739590801301E-4</v>
      </c>
    </row>
  </sheetData>
  <pageMargins left="0.7" right="0.7" top="0.75" bottom="0.75" header="0.3" footer="0.3"/>
  <headerFooter>
    <oddFooter>&amp;C_x000D_&amp;1#&amp;"Aptos"&amp;12&amp;K008000 Public</oddFooter>
  </headerFooter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E5CF-C420-4E72-AD4C-7CA70A8180EE}">
  <dimension ref="A1:AG58"/>
  <sheetViews>
    <sheetView topLeftCell="E1" workbookViewId="0">
      <selection activeCell="X19" sqref="X19"/>
    </sheetView>
  </sheetViews>
  <sheetFormatPr defaultRowHeight="14.5" x14ac:dyDescent="0.35"/>
  <cols>
    <col min="2" max="2" width="18.453125" customWidth="1"/>
    <col min="3" max="3" width="13.54296875" customWidth="1"/>
    <col min="4" max="4" width="18.7265625" customWidth="1"/>
    <col min="5" max="5" width="18.453125" customWidth="1"/>
    <col min="6" max="6" width="18.7265625" customWidth="1"/>
    <col min="7" max="7" width="19.81640625" customWidth="1"/>
    <col min="8" max="8" width="21.453125" customWidth="1"/>
    <col min="9" max="9" width="23.7265625" customWidth="1"/>
    <col min="10" max="11" width="19.81640625" customWidth="1"/>
    <col min="12" max="12" width="23.54296875" customWidth="1"/>
    <col min="13" max="13" width="15.1796875" customWidth="1"/>
    <col min="14" max="14" width="12.453125" customWidth="1"/>
    <col min="15" max="15" width="18.7265625" customWidth="1"/>
    <col min="16" max="16" width="18.453125" customWidth="1"/>
    <col min="17" max="17" width="18.7265625" customWidth="1"/>
    <col min="18" max="18" width="19.81640625" customWidth="1"/>
    <col min="19" max="19" width="21.453125" customWidth="1"/>
    <col min="20" max="20" width="17.81640625" customWidth="1"/>
    <col min="23" max="23" width="12" customWidth="1"/>
    <col min="24" max="24" width="15.1796875" customWidth="1"/>
    <col min="25" max="25" width="15.453125" customWidth="1"/>
    <col min="26" max="26" width="18.7265625" customWidth="1"/>
    <col min="27" max="27" width="18.81640625" customWidth="1"/>
    <col min="28" max="28" width="18.7265625" customWidth="1"/>
    <col min="29" max="29" width="19.81640625" customWidth="1"/>
    <col min="30" max="30" width="21.453125" customWidth="1"/>
    <col min="31" max="31" width="21.7265625" customWidth="1"/>
    <col min="32" max="32" width="17.81640625" customWidth="1"/>
  </cols>
  <sheetData>
    <row r="1" spans="1:33" x14ac:dyDescent="0.35">
      <c r="A1" t="s">
        <v>77</v>
      </c>
    </row>
    <row r="2" spans="1:33" x14ac:dyDescent="0.35">
      <c r="A2" t="s">
        <v>49</v>
      </c>
    </row>
    <row r="3" spans="1:33" x14ac:dyDescent="0.35">
      <c r="A3" t="s">
        <v>50</v>
      </c>
      <c r="L3" t="s">
        <v>51</v>
      </c>
      <c r="X3" t="s">
        <v>52</v>
      </c>
    </row>
    <row r="4" spans="1:33" x14ac:dyDescent="0.35">
      <c r="A4" s="1" t="s">
        <v>53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13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53</v>
      </c>
      <c r="M4" s="1" t="s">
        <v>3</v>
      </c>
      <c r="N4" s="1" t="s">
        <v>4</v>
      </c>
      <c r="O4" s="1" t="s">
        <v>5</v>
      </c>
      <c r="P4" s="1" t="s">
        <v>6</v>
      </c>
      <c r="Q4" s="1" t="s">
        <v>13</v>
      </c>
      <c r="R4" s="1" t="s">
        <v>8</v>
      </c>
      <c r="S4" s="1" t="s">
        <v>9</v>
      </c>
      <c r="T4" s="1" t="s">
        <v>10</v>
      </c>
      <c r="U4" s="1" t="s">
        <v>11</v>
      </c>
      <c r="X4" s="1" t="s">
        <v>53</v>
      </c>
      <c r="Y4" s="1" t="s">
        <v>3</v>
      </c>
      <c r="Z4" s="1" t="s">
        <v>4</v>
      </c>
      <c r="AA4" s="1" t="s">
        <v>5</v>
      </c>
      <c r="AB4" s="1" t="s">
        <v>6</v>
      </c>
      <c r="AC4" s="1" t="s">
        <v>13</v>
      </c>
      <c r="AD4" s="1" t="s">
        <v>8</v>
      </c>
      <c r="AE4" s="1" t="s">
        <v>9</v>
      </c>
      <c r="AF4" s="1" t="s">
        <v>10</v>
      </c>
      <c r="AG4" s="1" t="s">
        <v>11</v>
      </c>
    </row>
    <row r="5" spans="1:33" x14ac:dyDescent="0.35">
      <c r="A5">
        <v>1</v>
      </c>
      <c r="B5">
        <v>846329</v>
      </c>
      <c r="C5">
        <v>4688</v>
      </c>
      <c r="D5">
        <v>0.55392170184408196</v>
      </c>
      <c r="E5">
        <v>55.004106535257527</v>
      </c>
      <c r="F5">
        <v>0.75937375709081745</v>
      </c>
      <c r="G5">
        <v>0.88514545730266847</v>
      </c>
      <c r="H5">
        <v>0.80555487799456593</v>
      </c>
      <c r="I5">
        <v>0.79185800719012323</v>
      </c>
      <c r="J5">
        <v>3.8689063911733858E-2</v>
      </c>
      <c r="L5">
        <v>1</v>
      </c>
      <c r="M5">
        <v>194631</v>
      </c>
      <c r="N5">
        <v>1691</v>
      </c>
      <c r="O5">
        <v>0.86882356870179989</v>
      </c>
      <c r="P5">
        <v>56.198072449318722</v>
      </c>
      <c r="Q5">
        <v>0.7593738706701767</v>
      </c>
      <c r="R5">
        <v>0.88514545730266847</v>
      </c>
      <c r="S5">
        <v>0.80372186405759172</v>
      </c>
      <c r="T5">
        <v>0.78869267969463563</v>
      </c>
      <c r="U5">
        <v>3.8494066327292728E-2</v>
      </c>
      <c r="X5">
        <v>1</v>
      </c>
      <c r="Y5">
        <v>97378</v>
      </c>
      <c r="Z5">
        <v>375</v>
      </c>
      <c r="AA5">
        <v>0.38509724989217281</v>
      </c>
      <c r="AB5">
        <v>45.018007202881158</v>
      </c>
      <c r="AC5">
        <v>0.75937456223727251</v>
      </c>
      <c r="AD5">
        <v>0.88514545730266847</v>
      </c>
      <c r="AE5">
        <v>0.80559232885319598</v>
      </c>
      <c r="AF5">
        <v>0.79074170492375406</v>
      </c>
      <c r="AG5">
        <v>3.9554707936599758E-2</v>
      </c>
    </row>
    <row r="6" spans="1:33" x14ac:dyDescent="0.35">
      <c r="A6">
        <v>2</v>
      </c>
      <c r="B6">
        <v>846329</v>
      </c>
      <c r="C6">
        <v>2012</v>
      </c>
      <c r="D6">
        <v>0.23773260753205899</v>
      </c>
      <c r="E6">
        <v>23.60671125190661</v>
      </c>
      <c r="F6">
        <v>0.66278528194974573</v>
      </c>
      <c r="G6">
        <v>0.75937371480118077</v>
      </c>
      <c r="H6">
        <v>0.71802621665458699</v>
      </c>
      <c r="I6">
        <v>0.72193542471414285</v>
      </c>
      <c r="J6">
        <v>2.8013864186171911E-2</v>
      </c>
      <c r="L6">
        <v>2</v>
      </c>
      <c r="M6">
        <v>203032</v>
      </c>
      <c r="N6">
        <v>866</v>
      </c>
      <c r="O6">
        <v>0.42653374837464042</v>
      </c>
      <c r="P6">
        <v>28.78032568959787</v>
      </c>
      <c r="Q6">
        <v>0.66278698201147934</v>
      </c>
      <c r="R6">
        <v>0.75937295051276676</v>
      </c>
      <c r="S6">
        <v>0.71922341478454432</v>
      </c>
      <c r="T6">
        <v>0.72256639565263681</v>
      </c>
      <c r="U6">
        <v>2.731487531748035E-2</v>
      </c>
      <c r="X6">
        <v>2</v>
      </c>
      <c r="Y6">
        <v>109468</v>
      </c>
      <c r="Z6">
        <v>246</v>
      </c>
      <c r="AA6">
        <v>0.22472320678189059</v>
      </c>
      <c r="AB6">
        <v>29.531812725090031</v>
      </c>
      <c r="AC6">
        <v>0.66278868447958761</v>
      </c>
      <c r="AD6">
        <v>0.75937281516792965</v>
      </c>
      <c r="AE6">
        <v>0.71713036157544718</v>
      </c>
      <c r="AF6">
        <v>0.72040893689298446</v>
      </c>
      <c r="AG6">
        <v>2.8180869950212441E-2</v>
      </c>
    </row>
    <row r="7" spans="1:33" x14ac:dyDescent="0.35">
      <c r="A7">
        <v>3</v>
      </c>
      <c r="B7">
        <v>846329</v>
      </c>
      <c r="C7">
        <v>1070</v>
      </c>
      <c r="D7">
        <v>0.1264283747809658</v>
      </c>
      <c r="E7">
        <v>12.5542649301889</v>
      </c>
      <c r="F7">
        <v>0.47759907093030179</v>
      </c>
      <c r="G7">
        <v>0.66278480149023866</v>
      </c>
      <c r="H7">
        <v>0.56620640465824756</v>
      </c>
      <c r="I7">
        <v>0.56480377895584455</v>
      </c>
      <c r="J7">
        <v>4.798137680507724E-2</v>
      </c>
      <c r="L7">
        <v>3</v>
      </c>
      <c r="M7">
        <v>245288</v>
      </c>
      <c r="N7">
        <v>327</v>
      </c>
      <c r="O7">
        <v>0.13331267734255239</v>
      </c>
      <c r="P7">
        <v>10.867397806580261</v>
      </c>
      <c r="Q7">
        <v>0.47761456485301018</v>
      </c>
      <c r="R7">
        <v>0.66278310332061452</v>
      </c>
      <c r="S7">
        <v>0.55717106396487137</v>
      </c>
      <c r="T7">
        <v>0.55287657081785024</v>
      </c>
      <c r="U7">
        <v>4.6818626696755877E-2</v>
      </c>
      <c r="X7">
        <v>3</v>
      </c>
      <c r="Y7">
        <v>134376</v>
      </c>
      <c r="Z7">
        <v>149</v>
      </c>
      <c r="AA7">
        <v>0.1108828957551944</v>
      </c>
      <c r="AB7">
        <v>17.887154861944779</v>
      </c>
      <c r="AC7">
        <v>0.47761569177642549</v>
      </c>
      <c r="AD7">
        <v>0.66278461065134675</v>
      </c>
      <c r="AE7">
        <v>0.55961206587350254</v>
      </c>
      <c r="AF7">
        <v>0.5581725380351501</v>
      </c>
      <c r="AG7">
        <v>4.6567596831220963E-2</v>
      </c>
    </row>
    <row r="8" spans="1:33" x14ac:dyDescent="0.35">
      <c r="A8">
        <v>4</v>
      </c>
      <c r="B8">
        <v>846329</v>
      </c>
      <c r="C8">
        <v>506</v>
      </c>
      <c r="D8">
        <v>5.9787623961839897E-2</v>
      </c>
      <c r="E8">
        <v>5.9368766866126954</v>
      </c>
      <c r="F8">
        <v>0.1693608952854353</v>
      </c>
      <c r="G8">
        <v>0.47759907093030179</v>
      </c>
      <c r="H8">
        <v>0.3275710209419756</v>
      </c>
      <c r="I8">
        <v>0.34245937334784149</v>
      </c>
      <c r="J8">
        <v>9.7336468987771901E-2</v>
      </c>
      <c r="L8">
        <v>4</v>
      </c>
      <c r="M8">
        <v>122399</v>
      </c>
      <c r="N8">
        <v>92</v>
      </c>
      <c r="O8">
        <v>7.5164012777882178E-2</v>
      </c>
      <c r="P8">
        <v>3.0574941841143231</v>
      </c>
      <c r="Q8">
        <v>0.1693721760054919</v>
      </c>
      <c r="R8">
        <v>0.47758814024760032</v>
      </c>
      <c r="S8">
        <v>0.37307247211469902</v>
      </c>
      <c r="T8">
        <v>0.38368036334250349</v>
      </c>
      <c r="U8">
        <v>8.1886451770591812E-2</v>
      </c>
      <c r="X8">
        <v>4</v>
      </c>
      <c r="Y8">
        <v>77840</v>
      </c>
      <c r="Z8">
        <v>56</v>
      </c>
      <c r="AA8">
        <v>7.1942446043165464E-2</v>
      </c>
      <c r="AB8">
        <v>6.7226890756302522</v>
      </c>
      <c r="AC8">
        <v>0.16938969528224421</v>
      </c>
      <c r="AD8">
        <v>0.47758814024760032</v>
      </c>
      <c r="AE8">
        <v>0.362482023797427</v>
      </c>
      <c r="AF8">
        <v>0.37518630900803229</v>
      </c>
      <c r="AG8">
        <v>8.2667031104526362E-2</v>
      </c>
    </row>
    <row r="9" spans="1:33" x14ac:dyDescent="0.35">
      <c r="A9">
        <v>5</v>
      </c>
      <c r="B9">
        <v>846329</v>
      </c>
      <c r="C9">
        <v>120</v>
      </c>
      <c r="D9">
        <v>1.4178883153005511E-2</v>
      </c>
      <c r="E9">
        <v>1.4079549454417459</v>
      </c>
      <c r="F9">
        <v>9.7241930160733542E-2</v>
      </c>
      <c r="G9">
        <v>0.1693608952854353</v>
      </c>
      <c r="H9">
        <v>0.122997523516613</v>
      </c>
      <c r="I9">
        <v>0.1187353711695182</v>
      </c>
      <c r="J9">
        <v>1.9626148307925209E-2</v>
      </c>
      <c r="L9">
        <v>5</v>
      </c>
      <c r="M9">
        <v>90141</v>
      </c>
      <c r="N9">
        <v>6</v>
      </c>
      <c r="O9">
        <v>6.6562385595899751E-3</v>
      </c>
      <c r="P9">
        <v>0.19940179461615151</v>
      </c>
      <c r="Q9">
        <v>9.7241930160733542E-2</v>
      </c>
      <c r="R9">
        <v>0.16935656128552101</v>
      </c>
      <c r="S9">
        <v>0.1178306840879039</v>
      </c>
      <c r="T9">
        <v>0.1142125543074297</v>
      </c>
      <c r="U9">
        <v>1.786075421572926E-2</v>
      </c>
      <c r="X9">
        <v>5</v>
      </c>
      <c r="Y9">
        <v>36583</v>
      </c>
      <c r="Z9">
        <v>0</v>
      </c>
      <c r="AA9">
        <v>0</v>
      </c>
      <c r="AB9">
        <v>0</v>
      </c>
      <c r="AC9">
        <v>9.7241930160733542E-2</v>
      </c>
      <c r="AD9">
        <v>0.16933488301732749</v>
      </c>
      <c r="AE9">
        <v>0.11833265117626041</v>
      </c>
      <c r="AF9">
        <v>0.114724282673715</v>
      </c>
      <c r="AG9">
        <v>1.7809937674415771E-2</v>
      </c>
    </row>
    <row r="10" spans="1:33" x14ac:dyDescent="0.35">
      <c r="A10">
        <v>6</v>
      </c>
      <c r="B10">
        <v>846329</v>
      </c>
      <c r="C10">
        <v>60</v>
      </c>
      <c r="D10">
        <v>7.0894415765027554E-3</v>
      </c>
      <c r="E10">
        <v>0.70397747272087297</v>
      </c>
      <c r="F10">
        <v>6.977642850963342E-2</v>
      </c>
      <c r="G10">
        <v>9.7241930160733542E-2</v>
      </c>
      <c r="H10">
        <v>8.0227336461066251E-2</v>
      </c>
      <c r="I10">
        <v>7.7964689170325535E-2</v>
      </c>
      <c r="J10">
        <v>8.6819604157478587E-3</v>
      </c>
      <c r="L10">
        <v>6</v>
      </c>
      <c r="M10">
        <v>201542</v>
      </c>
      <c r="N10">
        <v>16</v>
      </c>
      <c r="O10">
        <v>7.9387919143404356E-3</v>
      </c>
      <c r="P10">
        <v>0.53173811897640411</v>
      </c>
      <c r="Q10">
        <v>6.977642850963342E-2</v>
      </c>
      <c r="R10">
        <v>9.7233205571743045E-2</v>
      </c>
      <c r="S10">
        <v>7.8273384905145571E-2</v>
      </c>
      <c r="T10">
        <v>7.5639109802126375E-2</v>
      </c>
      <c r="U10">
        <v>8.1642523453057808E-3</v>
      </c>
      <c r="X10">
        <v>6</v>
      </c>
      <c r="Y10">
        <v>98678</v>
      </c>
      <c r="Z10">
        <v>1</v>
      </c>
      <c r="AA10">
        <v>1.0133971097914429E-3</v>
      </c>
      <c r="AB10">
        <v>0.1200480192076831</v>
      </c>
      <c r="AC10">
        <v>6.977642850963342E-2</v>
      </c>
      <c r="AD10">
        <v>9.7229428667776036E-2</v>
      </c>
      <c r="AE10">
        <v>7.8149530267652215E-2</v>
      </c>
      <c r="AF10">
        <v>7.546097675333005E-2</v>
      </c>
      <c r="AG10">
        <v>7.9517727170093696E-3</v>
      </c>
    </row>
    <row r="11" spans="1:33" x14ac:dyDescent="0.35">
      <c r="A11">
        <v>7</v>
      </c>
      <c r="B11">
        <v>846329</v>
      </c>
      <c r="C11">
        <v>33</v>
      </c>
      <c r="D11">
        <v>3.8991928670765149E-3</v>
      </c>
      <c r="E11">
        <v>0.38718760999648011</v>
      </c>
      <c r="F11">
        <v>5.7328265174585863E-2</v>
      </c>
      <c r="G11">
        <v>6.977642850963342E-2</v>
      </c>
      <c r="H11">
        <v>6.3602273945903287E-2</v>
      </c>
      <c r="I11">
        <v>6.3923291244333005E-2</v>
      </c>
      <c r="J11">
        <v>3.7880738222052452E-3</v>
      </c>
      <c r="L11">
        <v>7</v>
      </c>
      <c r="M11">
        <v>205580</v>
      </c>
      <c r="N11">
        <v>10</v>
      </c>
      <c r="O11">
        <v>4.8642864091837726E-3</v>
      </c>
      <c r="P11">
        <v>0.33233632436025262</v>
      </c>
      <c r="Q11">
        <v>5.7328265174585863E-2</v>
      </c>
      <c r="R11">
        <v>6.9775892773526749E-2</v>
      </c>
      <c r="S11">
        <v>6.3468021792037227E-2</v>
      </c>
      <c r="T11">
        <v>6.3748727735751576E-2</v>
      </c>
      <c r="U11">
        <v>3.6588081577382161E-3</v>
      </c>
      <c r="X11">
        <v>7</v>
      </c>
      <c r="Y11">
        <v>102064</v>
      </c>
      <c r="Z11">
        <v>4</v>
      </c>
      <c r="AA11">
        <v>3.9191095783038098E-3</v>
      </c>
      <c r="AB11">
        <v>0.48019207683073228</v>
      </c>
      <c r="AC11">
        <v>5.7328265174585863E-2</v>
      </c>
      <c r="AD11">
        <v>6.9775576621391819E-2</v>
      </c>
      <c r="AE11">
        <v>6.3431066592484431E-2</v>
      </c>
      <c r="AF11">
        <v>6.3729212770933824E-2</v>
      </c>
      <c r="AG11">
        <v>3.6393918518137481E-3</v>
      </c>
    </row>
    <row r="12" spans="1:33" x14ac:dyDescent="0.35">
      <c r="A12">
        <v>8</v>
      </c>
      <c r="B12">
        <v>846328</v>
      </c>
      <c r="C12">
        <v>19</v>
      </c>
      <c r="D12">
        <v>2.244992485183049E-3</v>
      </c>
      <c r="E12">
        <v>0.22292619969494309</v>
      </c>
      <c r="F12">
        <v>4.6462081889353503E-2</v>
      </c>
      <c r="G12">
        <v>5.7328265174585863E-2</v>
      </c>
      <c r="H12">
        <v>5.1394529426472609E-2</v>
      </c>
      <c r="I12">
        <v>5.0518842545587361E-2</v>
      </c>
      <c r="J12">
        <v>3.5793837496147659E-3</v>
      </c>
      <c r="L12">
        <v>8</v>
      </c>
      <c r="M12">
        <v>186599</v>
      </c>
      <c r="N12">
        <v>1</v>
      </c>
      <c r="O12">
        <v>5.3590855256459042E-4</v>
      </c>
      <c r="P12">
        <v>3.3233632436025257E-2</v>
      </c>
      <c r="Q12">
        <v>4.6462081889353503E-2</v>
      </c>
      <c r="R12">
        <v>5.7327201243707222E-2</v>
      </c>
      <c r="S12">
        <v>5.1462241555283381E-2</v>
      </c>
      <c r="T12">
        <v>5.0939629642869078E-2</v>
      </c>
      <c r="U12">
        <v>3.665015753122777E-3</v>
      </c>
      <c r="X12">
        <v>8</v>
      </c>
      <c r="Y12">
        <v>88898</v>
      </c>
      <c r="Z12">
        <v>1</v>
      </c>
      <c r="AA12">
        <v>1.1248846993183201E-3</v>
      </c>
      <c r="AB12">
        <v>0.1200480192076831</v>
      </c>
      <c r="AC12">
        <v>4.6462081889353503E-2</v>
      </c>
      <c r="AD12">
        <v>5.7327201243707222E-2</v>
      </c>
      <c r="AE12">
        <v>5.1910170487612359E-2</v>
      </c>
      <c r="AF12">
        <v>5.2279785487063128E-2</v>
      </c>
      <c r="AG12">
        <v>3.5812769514446808E-3</v>
      </c>
    </row>
    <row r="13" spans="1:33" x14ac:dyDescent="0.35">
      <c r="A13">
        <v>9</v>
      </c>
      <c r="B13">
        <v>846328</v>
      </c>
      <c r="C13">
        <v>14</v>
      </c>
      <c r="D13">
        <v>1.6542049890822469E-3</v>
      </c>
      <c r="E13">
        <v>0.16426141030153699</v>
      </c>
      <c r="F13">
        <v>3.9030386768773108E-2</v>
      </c>
      <c r="G13">
        <v>4.6462081889353503E-2</v>
      </c>
      <c r="H13">
        <v>4.2598054674097142E-2</v>
      </c>
      <c r="I13">
        <v>4.2296938467375027E-2</v>
      </c>
      <c r="J13">
        <v>2.2791958359544792E-3</v>
      </c>
      <c r="L13">
        <v>9</v>
      </c>
      <c r="M13">
        <v>263472</v>
      </c>
      <c r="N13">
        <v>0</v>
      </c>
      <c r="O13">
        <v>0</v>
      </c>
      <c r="P13">
        <v>0</v>
      </c>
      <c r="Q13">
        <v>3.9030386768773108E-2</v>
      </c>
      <c r="R13">
        <v>4.6456432768240893E-2</v>
      </c>
      <c r="S13">
        <v>4.2632726841844201E-2</v>
      </c>
      <c r="T13">
        <v>4.2296938467375027E-2</v>
      </c>
      <c r="U13">
        <v>2.4077407103841732E-3</v>
      </c>
      <c r="X13">
        <v>9</v>
      </c>
      <c r="Y13">
        <v>140896</v>
      </c>
      <c r="Z13">
        <v>1</v>
      </c>
      <c r="AA13">
        <v>7.0974335680218034E-4</v>
      </c>
      <c r="AB13">
        <v>0.1200480192076831</v>
      </c>
      <c r="AC13">
        <v>3.9030386768773108E-2</v>
      </c>
      <c r="AD13">
        <v>4.6456432768240893E-2</v>
      </c>
      <c r="AE13">
        <v>4.2578037972644707E-2</v>
      </c>
      <c r="AF13">
        <v>4.2421624492823447E-2</v>
      </c>
      <c r="AG13">
        <v>2.348705312391404E-3</v>
      </c>
    </row>
    <row r="14" spans="1:33" x14ac:dyDescent="0.35">
      <c r="A14">
        <v>10</v>
      </c>
      <c r="B14">
        <v>846328</v>
      </c>
      <c r="C14">
        <v>1</v>
      </c>
      <c r="D14">
        <v>1.181574992201605E-4</v>
      </c>
      <c r="E14">
        <v>1.173295787868122E-2</v>
      </c>
      <c r="F14">
        <v>2.6699369583678939E-2</v>
      </c>
      <c r="G14">
        <v>3.9030386768773108E-2</v>
      </c>
      <c r="H14">
        <v>3.5909822168618599E-2</v>
      </c>
      <c r="I14">
        <v>3.645756055327929E-2</v>
      </c>
      <c r="J14">
        <v>2.7031703644332578E-3</v>
      </c>
      <c r="L14">
        <v>10</v>
      </c>
      <c r="M14">
        <v>245912</v>
      </c>
      <c r="N14">
        <v>0</v>
      </c>
      <c r="O14">
        <v>0</v>
      </c>
      <c r="P14">
        <v>0</v>
      </c>
      <c r="Q14">
        <v>2.6699369583678939E-2</v>
      </c>
      <c r="R14">
        <v>3.9028784214226411E-2</v>
      </c>
      <c r="S14">
        <v>3.5806984240740039E-2</v>
      </c>
      <c r="T14">
        <v>3.645756055327929E-2</v>
      </c>
      <c r="U14">
        <v>2.6589541767534342E-3</v>
      </c>
      <c r="X14">
        <v>10</v>
      </c>
      <c r="Y14">
        <v>128659</v>
      </c>
      <c r="Z14">
        <v>0</v>
      </c>
      <c r="AA14">
        <v>0</v>
      </c>
      <c r="AB14">
        <v>0</v>
      </c>
      <c r="AC14">
        <v>2.6699369583678939E-2</v>
      </c>
      <c r="AD14">
        <v>3.9028255617287913E-2</v>
      </c>
      <c r="AE14">
        <v>3.5758057356132071E-2</v>
      </c>
      <c r="AF14">
        <v>3.645756055327929E-2</v>
      </c>
      <c r="AG14">
        <v>2.678579948018925E-3</v>
      </c>
    </row>
    <row r="16" spans="1:33" x14ac:dyDescent="0.35">
      <c r="A16" t="s">
        <v>78</v>
      </c>
    </row>
    <row r="17" spans="1:33" x14ac:dyDescent="0.35">
      <c r="A17" t="s">
        <v>49</v>
      </c>
    </row>
    <row r="18" spans="1:33" x14ac:dyDescent="0.35">
      <c r="A18" t="s">
        <v>50</v>
      </c>
      <c r="L18" t="s">
        <v>51</v>
      </c>
      <c r="X18" t="s">
        <v>79</v>
      </c>
    </row>
    <row r="19" spans="1:33" x14ac:dyDescent="0.35">
      <c r="A19" s="1" t="s">
        <v>53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13</v>
      </c>
      <c r="G19" s="1" t="s">
        <v>8</v>
      </c>
      <c r="H19" s="1" t="s">
        <v>9</v>
      </c>
      <c r="I19" s="1" t="s">
        <v>10</v>
      </c>
      <c r="J19" s="1" t="s">
        <v>11</v>
      </c>
      <c r="L19" s="1" t="s">
        <v>53</v>
      </c>
      <c r="M19" s="1" t="s">
        <v>3</v>
      </c>
      <c r="N19" s="1" t="s">
        <v>4</v>
      </c>
      <c r="O19" s="1" t="s">
        <v>5</v>
      </c>
      <c r="P19" s="1" t="s">
        <v>6</v>
      </c>
      <c r="Q19" s="1" t="s">
        <v>13</v>
      </c>
      <c r="R19" s="1" t="s">
        <v>8</v>
      </c>
      <c r="S19" s="1" t="s">
        <v>9</v>
      </c>
      <c r="T19" s="1" t="s">
        <v>10</v>
      </c>
      <c r="U19" s="1" t="s">
        <v>11</v>
      </c>
      <c r="X19" s="1" t="s">
        <v>53</v>
      </c>
      <c r="Y19" s="1" t="s">
        <v>3</v>
      </c>
      <c r="Z19" s="1" t="s">
        <v>4</v>
      </c>
      <c r="AA19" s="1" t="s">
        <v>5</v>
      </c>
      <c r="AB19" s="1" t="s">
        <v>6</v>
      </c>
      <c r="AC19" s="1" t="s">
        <v>13</v>
      </c>
      <c r="AD19" s="1" t="s">
        <v>8</v>
      </c>
      <c r="AE19" s="1" t="s">
        <v>9</v>
      </c>
      <c r="AF19" s="1" t="s">
        <v>10</v>
      </c>
      <c r="AG19" s="1" t="s">
        <v>11</v>
      </c>
    </row>
    <row r="20" spans="1:33" x14ac:dyDescent="0.35">
      <c r="A20">
        <v>1</v>
      </c>
      <c r="B20">
        <v>846329</v>
      </c>
      <c r="C20">
        <v>4778</v>
      </c>
      <c r="D20">
        <v>0.56455586420883597</v>
      </c>
      <c r="E20">
        <v>56.060072744338846</v>
      </c>
      <c r="F20">
        <v>0.75720111619218189</v>
      </c>
      <c r="G20">
        <v>0.90417148360709176</v>
      </c>
      <c r="H20">
        <v>0.80526675335624642</v>
      </c>
      <c r="I20">
        <v>0.79139874323548398</v>
      </c>
      <c r="J20">
        <v>4.1026335641105437E-2</v>
      </c>
      <c r="L20">
        <v>1</v>
      </c>
      <c r="M20">
        <v>194496</v>
      </c>
      <c r="N20">
        <v>1756</v>
      </c>
      <c r="O20">
        <v>0.90284633102994416</v>
      </c>
      <c r="P20">
        <v>58.358258557660349</v>
      </c>
      <c r="Q20">
        <v>0.75720111619218189</v>
      </c>
      <c r="R20">
        <v>0.90417148360709176</v>
      </c>
      <c r="S20">
        <v>0.80333091322956041</v>
      </c>
      <c r="T20">
        <v>0.78709535584204393</v>
      </c>
      <c r="U20">
        <v>4.12342766046358E-2</v>
      </c>
      <c r="X20">
        <v>1</v>
      </c>
      <c r="Y20">
        <v>97632</v>
      </c>
      <c r="Z20">
        <v>380</v>
      </c>
      <c r="AA20">
        <v>0.38921665</v>
      </c>
      <c r="AB20">
        <v>45.6182473</v>
      </c>
      <c r="AC20">
        <v>0.75720142700000004</v>
      </c>
      <c r="AD20">
        <v>0.90069562400000003</v>
      </c>
      <c r="AE20">
        <v>0.80344394100000005</v>
      </c>
      <c r="AF20">
        <v>0.78723934299999998</v>
      </c>
      <c r="AG20">
        <v>4.1527372999999999E-2</v>
      </c>
    </row>
    <row r="21" spans="1:33" x14ac:dyDescent="0.35">
      <c r="A21">
        <v>2</v>
      </c>
      <c r="B21">
        <v>846329</v>
      </c>
      <c r="C21">
        <v>1962</v>
      </c>
      <c r="D21">
        <v>0.2318247395516401</v>
      </c>
      <c r="E21">
        <v>23.02006335797255</v>
      </c>
      <c r="F21">
        <v>0.64630341028069682</v>
      </c>
      <c r="G21">
        <v>0.75720111619218189</v>
      </c>
      <c r="H21">
        <v>0.71273685131404929</v>
      </c>
      <c r="I21">
        <v>0.71774375282634695</v>
      </c>
      <c r="J21">
        <v>3.117766995580851E-2</v>
      </c>
      <c r="L21">
        <v>2</v>
      </c>
      <c r="M21">
        <v>200872</v>
      </c>
      <c r="N21">
        <v>835</v>
      </c>
      <c r="O21">
        <v>0.41568760205504002</v>
      </c>
      <c r="P21">
        <v>27.750083084081091</v>
      </c>
      <c r="Q21">
        <v>0.64630566902830666</v>
      </c>
      <c r="R21">
        <v>0.75719981166162309</v>
      </c>
      <c r="S21">
        <v>0.71484060982874975</v>
      </c>
      <c r="T21">
        <v>0.72009784996473036</v>
      </c>
      <c r="U21">
        <v>3.0427996877020809E-2</v>
      </c>
      <c r="X21">
        <v>2</v>
      </c>
      <c r="Y21">
        <v>106037</v>
      </c>
      <c r="Z21">
        <v>239</v>
      </c>
      <c r="AA21">
        <v>0.225393023</v>
      </c>
      <c r="AB21">
        <v>28.691476590000001</v>
      </c>
      <c r="AC21">
        <v>0.64630408800000005</v>
      </c>
      <c r="AD21">
        <v>0.757199862</v>
      </c>
      <c r="AE21">
        <v>0.71403768599999995</v>
      </c>
      <c r="AF21">
        <v>0.71941092100000004</v>
      </c>
      <c r="AG21">
        <v>3.0762086000000001E-2</v>
      </c>
    </row>
    <row r="22" spans="1:33" x14ac:dyDescent="0.35">
      <c r="A22">
        <v>3</v>
      </c>
      <c r="B22">
        <v>846329</v>
      </c>
      <c r="C22">
        <v>1044</v>
      </c>
      <c r="D22">
        <v>0.12335628343114791</v>
      </c>
      <c r="E22">
        <v>12.24920802534319</v>
      </c>
      <c r="F22">
        <v>0.49249264073145782</v>
      </c>
      <c r="G22">
        <v>0.64630297779479018</v>
      </c>
      <c r="H22">
        <v>0.56333021477101508</v>
      </c>
      <c r="I22">
        <v>0.56031496303107953</v>
      </c>
      <c r="J22">
        <v>3.7093458973490583E-2</v>
      </c>
      <c r="L22">
        <v>3</v>
      </c>
      <c r="M22">
        <v>249014</v>
      </c>
      <c r="N22">
        <v>291</v>
      </c>
      <c r="O22">
        <v>0.1168608993871831</v>
      </c>
      <c r="P22">
        <v>9.6709870388833501</v>
      </c>
      <c r="Q22">
        <v>0.49249264073145782</v>
      </c>
      <c r="R22">
        <v>0.64630281922740818</v>
      </c>
      <c r="S22">
        <v>0.55707604539666189</v>
      </c>
      <c r="T22">
        <v>0.55113297812591699</v>
      </c>
      <c r="U22">
        <v>3.5920586915409669E-2</v>
      </c>
      <c r="X22">
        <v>3</v>
      </c>
      <c r="Y22">
        <v>135155</v>
      </c>
      <c r="Z22">
        <v>150</v>
      </c>
      <c r="AA22">
        <v>0.110983685</v>
      </c>
      <c r="AB22">
        <v>18.007202880000001</v>
      </c>
      <c r="AC22">
        <v>0.49250192399999998</v>
      </c>
      <c r="AD22">
        <v>0.64630304100000002</v>
      </c>
      <c r="AE22">
        <v>0.56200230200000001</v>
      </c>
      <c r="AF22">
        <v>0.55861745100000004</v>
      </c>
      <c r="AG22">
        <v>3.5645426000000001E-2</v>
      </c>
    </row>
    <row r="23" spans="1:33" x14ac:dyDescent="0.35">
      <c r="A23">
        <v>4</v>
      </c>
      <c r="B23">
        <v>846329</v>
      </c>
      <c r="C23">
        <v>496</v>
      </c>
      <c r="D23">
        <v>5.8606050365756113E-2</v>
      </c>
      <c r="E23">
        <v>5.8195471078258816</v>
      </c>
      <c r="F23">
        <v>0.16072665094856639</v>
      </c>
      <c r="G23">
        <v>0.49249264073145782</v>
      </c>
      <c r="H23">
        <v>0.32927335315519962</v>
      </c>
      <c r="I23">
        <v>0.34524420109632442</v>
      </c>
      <c r="J23">
        <v>0.1028259484664026</v>
      </c>
      <c r="L23">
        <v>4</v>
      </c>
      <c r="M23">
        <v>121601</v>
      </c>
      <c r="N23">
        <v>96</v>
      </c>
      <c r="O23">
        <v>7.894671918816458E-2</v>
      </c>
      <c r="P23">
        <v>3.1904287138584251</v>
      </c>
      <c r="Q23">
        <v>0.16072665094856639</v>
      </c>
      <c r="R23">
        <v>0.49248488315247901</v>
      </c>
      <c r="S23">
        <v>0.36940071722389928</v>
      </c>
      <c r="T23">
        <v>0.38216454146188489</v>
      </c>
      <c r="U23">
        <v>8.64349355771796E-2</v>
      </c>
      <c r="X23">
        <v>4</v>
      </c>
      <c r="Y23">
        <v>80555</v>
      </c>
      <c r="Z23">
        <v>57</v>
      </c>
      <c r="AA23">
        <v>7.0759109000000001E-2</v>
      </c>
      <c r="AB23">
        <v>6.8427370950000004</v>
      </c>
      <c r="AC23">
        <v>0.160726651</v>
      </c>
      <c r="AD23">
        <v>0.49248488299999998</v>
      </c>
      <c r="AE23">
        <v>0.36131444499999998</v>
      </c>
      <c r="AF23">
        <v>0.37512031200000001</v>
      </c>
      <c r="AG23">
        <v>8.9730578000000005E-2</v>
      </c>
    </row>
    <row r="24" spans="1:33" x14ac:dyDescent="0.35">
      <c r="A24">
        <v>5</v>
      </c>
      <c r="B24">
        <v>846329</v>
      </c>
      <c r="C24">
        <v>123</v>
      </c>
      <c r="D24">
        <v>1.453335523183065E-2</v>
      </c>
      <c r="E24">
        <v>1.4431538190777899</v>
      </c>
      <c r="F24">
        <v>8.7429250281274379E-2</v>
      </c>
      <c r="G24">
        <v>0.16072665094856639</v>
      </c>
      <c r="H24">
        <v>0.1141659193544346</v>
      </c>
      <c r="I24">
        <v>0.11007333049466481</v>
      </c>
      <c r="J24">
        <v>2.010386118127382E-2</v>
      </c>
      <c r="L24">
        <v>5</v>
      </c>
      <c r="M24">
        <v>87231</v>
      </c>
      <c r="N24">
        <v>4</v>
      </c>
      <c r="O24">
        <v>4.5855257878506493E-3</v>
      </c>
      <c r="P24">
        <v>0.132934529744101</v>
      </c>
      <c r="Q24">
        <v>8.7429250281274379E-2</v>
      </c>
      <c r="R24">
        <v>0.16071612779837349</v>
      </c>
      <c r="S24">
        <v>0.10902049950032559</v>
      </c>
      <c r="T24">
        <v>0.104040067358071</v>
      </c>
      <c r="U24">
        <v>1.8155795248687101E-2</v>
      </c>
      <c r="X24">
        <v>5</v>
      </c>
      <c r="Y24">
        <v>35608</v>
      </c>
      <c r="Z24">
        <v>0</v>
      </c>
      <c r="AA24">
        <v>0</v>
      </c>
      <c r="AB24">
        <v>0</v>
      </c>
      <c r="AC24">
        <v>8.742925E-2</v>
      </c>
      <c r="AD24">
        <v>0.160713835</v>
      </c>
      <c r="AE24">
        <v>0.109487005</v>
      </c>
      <c r="AF24">
        <v>0.10565165899999999</v>
      </c>
      <c r="AG24">
        <v>1.8120730000000002E-2</v>
      </c>
    </row>
    <row r="25" spans="1:33" x14ac:dyDescent="0.35">
      <c r="A25">
        <v>6</v>
      </c>
      <c r="B25">
        <v>846329</v>
      </c>
      <c r="C25">
        <v>49</v>
      </c>
      <c r="D25">
        <v>5.7897106208105826E-3</v>
      </c>
      <c r="E25">
        <v>0.57491493605537958</v>
      </c>
      <c r="F25">
        <v>6.4792535436289531E-2</v>
      </c>
      <c r="G25">
        <v>8.7429250281274379E-2</v>
      </c>
      <c r="H25">
        <v>7.42048459238452E-2</v>
      </c>
      <c r="I25">
        <v>7.2645771272403431E-2</v>
      </c>
      <c r="J25">
        <v>6.385742624753026E-3</v>
      </c>
      <c r="L25">
        <v>6</v>
      </c>
      <c r="M25">
        <v>200642</v>
      </c>
      <c r="N25">
        <v>10</v>
      </c>
      <c r="O25">
        <v>4.9840013556483676E-3</v>
      </c>
      <c r="P25">
        <v>0.33233632436025262</v>
      </c>
      <c r="Q25">
        <v>6.4792535436289531E-2</v>
      </c>
      <c r="R25">
        <v>8.7427040936793696E-2</v>
      </c>
      <c r="S25">
        <v>7.3274105490167177E-2</v>
      </c>
      <c r="T25">
        <v>7.0627721156166515E-2</v>
      </c>
      <c r="U25">
        <v>5.8537293029061752E-3</v>
      </c>
      <c r="X25">
        <v>6</v>
      </c>
      <c r="Y25">
        <v>97019</v>
      </c>
      <c r="Z25">
        <v>1</v>
      </c>
      <c r="AA25">
        <v>1.030726E-3</v>
      </c>
      <c r="AB25">
        <v>0.12004801900000001</v>
      </c>
      <c r="AC25">
        <v>6.4792534999999998E-2</v>
      </c>
      <c r="AD25">
        <v>8.7423328999999994E-2</v>
      </c>
      <c r="AE25">
        <v>7.2866529999999999E-2</v>
      </c>
      <c r="AF25">
        <v>7.0489314999999997E-2</v>
      </c>
      <c r="AG25">
        <v>5.9773450000000002E-3</v>
      </c>
    </row>
    <row r="26" spans="1:33" x14ac:dyDescent="0.35">
      <c r="A26">
        <v>7</v>
      </c>
      <c r="B26">
        <v>846329</v>
      </c>
      <c r="C26">
        <v>36</v>
      </c>
      <c r="D26">
        <v>4.2536649459016529E-3</v>
      </c>
      <c r="E26">
        <v>0.42238648363252368</v>
      </c>
      <c r="F26">
        <v>4.910264343523979E-2</v>
      </c>
      <c r="G26">
        <v>6.4792535436289531E-2</v>
      </c>
      <c r="H26">
        <v>5.5048505814886212E-2</v>
      </c>
      <c r="I26">
        <v>5.4341829638127392E-2</v>
      </c>
      <c r="J26">
        <v>4.7444890192735283E-3</v>
      </c>
      <c r="L26">
        <v>7</v>
      </c>
      <c r="M26">
        <v>201558</v>
      </c>
      <c r="N26">
        <v>14</v>
      </c>
      <c r="O26">
        <v>6.9458915051746886E-3</v>
      </c>
      <c r="P26">
        <v>0.46527085410435359</v>
      </c>
      <c r="Q26">
        <v>4.910264343523979E-2</v>
      </c>
      <c r="R26">
        <v>6.4790762346763092E-2</v>
      </c>
      <c r="S26">
        <v>5.5170027394637979E-2</v>
      </c>
      <c r="T26">
        <v>5.4348459028132179E-2</v>
      </c>
      <c r="U26">
        <v>4.7264398844635222E-3</v>
      </c>
      <c r="X26">
        <v>7</v>
      </c>
      <c r="Y26">
        <v>102125</v>
      </c>
      <c r="Z26">
        <v>4</v>
      </c>
      <c r="AA26">
        <v>3.9167689999999996E-3</v>
      </c>
      <c r="AB26">
        <v>0.48019207699999999</v>
      </c>
      <c r="AC26">
        <v>4.9102643000000001E-2</v>
      </c>
      <c r="AD26">
        <v>6.4785075999999997E-2</v>
      </c>
      <c r="AE26">
        <v>5.5155518000000001E-2</v>
      </c>
      <c r="AF26">
        <v>5.4365365999999998E-2</v>
      </c>
      <c r="AG26">
        <v>4.7129850000000003E-3</v>
      </c>
    </row>
    <row r="27" spans="1:33" x14ac:dyDescent="0.35">
      <c r="A27">
        <v>8</v>
      </c>
      <c r="B27">
        <v>846328</v>
      </c>
      <c r="C27">
        <v>26</v>
      </c>
      <c r="D27">
        <v>3.0720949797241729E-3</v>
      </c>
      <c r="E27">
        <v>0.30505690484571157</v>
      </c>
      <c r="F27">
        <v>4.2843203573221883E-2</v>
      </c>
      <c r="G27">
        <v>4.910264343523979E-2</v>
      </c>
      <c r="H27">
        <v>4.5985820124446283E-2</v>
      </c>
      <c r="I27">
        <v>4.4850718678253007E-2</v>
      </c>
      <c r="J27">
        <v>2.0334012141605359E-3</v>
      </c>
      <c r="L27">
        <v>8</v>
      </c>
      <c r="M27">
        <v>205803</v>
      </c>
      <c r="N27">
        <v>3</v>
      </c>
      <c r="O27">
        <v>1.457704698182242E-3</v>
      </c>
      <c r="P27">
        <v>9.970089730807577E-2</v>
      </c>
      <c r="Q27">
        <v>4.2843203573221883E-2</v>
      </c>
      <c r="R27">
        <v>4.9100853804206278E-2</v>
      </c>
      <c r="S27">
        <v>4.558129285661424E-2</v>
      </c>
      <c r="T27">
        <v>4.4469841229120878E-2</v>
      </c>
      <c r="U27">
        <v>1.9147802102669319E-3</v>
      </c>
      <c r="X27">
        <v>8</v>
      </c>
      <c r="Y27">
        <v>98170</v>
      </c>
      <c r="Z27">
        <v>1</v>
      </c>
      <c r="AA27">
        <v>1.018641E-3</v>
      </c>
      <c r="AB27">
        <v>0.12004801900000001</v>
      </c>
      <c r="AC27">
        <v>4.2843204000000003E-2</v>
      </c>
      <c r="AD27">
        <v>4.9100066999999997E-2</v>
      </c>
      <c r="AE27">
        <v>4.5686026999999997E-2</v>
      </c>
      <c r="AF27">
        <v>4.4469841000000003E-2</v>
      </c>
      <c r="AG27">
        <v>2.0826120000000002E-3</v>
      </c>
    </row>
    <row r="28" spans="1:33" x14ac:dyDescent="0.35">
      <c r="A28">
        <v>9</v>
      </c>
      <c r="B28">
        <v>846328</v>
      </c>
      <c r="C28">
        <v>9</v>
      </c>
      <c r="D28">
        <v>1.063417492981445E-3</v>
      </c>
      <c r="E28">
        <v>0.10559662090813091</v>
      </c>
      <c r="F28">
        <v>3.609545248858536E-2</v>
      </c>
      <c r="G28">
        <v>4.2843203573221883E-2</v>
      </c>
      <c r="H28">
        <v>3.9118071506245661E-2</v>
      </c>
      <c r="I28">
        <v>3.882377100243823E-2</v>
      </c>
      <c r="J28">
        <v>2.2278464728556989E-3</v>
      </c>
      <c r="L28">
        <v>9</v>
      </c>
      <c r="M28">
        <v>267242</v>
      </c>
      <c r="N28">
        <v>0</v>
      </c>
      <c r="O28">
        <v>0</v>
      </c>
      <c r="P28">
        <v>0</v>
      </c>
      <c r="Q28">
        <v>3.609545248858536E-2</v>
      </c>
      <c r="R28">
        <v>4.284243726737591E-2</v>
      </c>
      <c r="S28">
        <v>3.8793809111204773E-2</v>
      </c>
      <c r="T28">
        <v>3.8528337297929677E-2</v>
      </c>
      <c r="U28">
        <v>2.233945045175662E-3</v>
      </c>
      <c r="X28">
        <v>9</v>
      </c>
      <c r="Y28">
        <v>143872</v>
      </c>
      <c r="Z28">
        <v>1</v>
      </c>
      <c r="AA28">
        <v>6.9506199999999998E-4</v>
      </c>
      <c r="AB28">
        <v>0.12004801900000001</v>
      </c>
      <c r="AC28">
        <v>3.6095452E-2</v>
      </c>
      <c r="AD28">
        <v>4.2842436999999997E-2</v>
      </c>
      <c r="AE28">
        <v>3.8766423000000001E-2</v>
      </c>
      <c r="AF28">
        <v>3.8240652E-2</v>
      </c>
      <c r="AG28">
        <v>2.240204E-3</v>
      </c>
    </row>
    <row r="29" spans="1:33" x14ac:dyDescent="0.35">
      <c r="A29">
        <v>10</v>
      </c>
      <c r="B29">
        <v>846328</v>
      </c>
      <c r="C29">
        <v>0</v>
      </c>
      <c r="D29">
        <v>0</v>
      </c>
      <c r="E29">
        <v>0</v>
      </c>
      <c r="F29">
        <v>2.227809925342918E-2</v>
      </c>
      <c r="G29">
        <v>3.609545248858536E-2</v>
      </c>
      <c r="H29">
        <v>3.2873623974714668E-2</v>
      </c>
      <c r="I29">
        <v>3.4693216866147708E-2</v>
      </c>
      <c r="J29">
        <v>3.4195605809930491E-3</v>
      </c>
      <c r="L29">
        <v>10</v>
      </c>
      <c r="M29">
        <v>230137</v>
      </c>
      <c r="N29">
        <v>0</v>
      </c>
      <c r="O29">
        <v>0</v>
      </c>
      <c r="P29">
        <v>0</v>
      </c>
      <c r="Q29">
        <v>2.227809925342918E-2</v>
      </c>
      <c r="R29">
        <v>3.6092774708915532E-2</v>
      </c>
      <c r="S29">
        <v>3.2762187755853808E-2</v>
      </c>
      <c r="T29">
        <v>3.4693216866147708E-2</v>
      </c>
      <c r="U29">
        <v>3.4200263349380218E-3</v>
      </c>
      <c r="X29">
        <v>10</v>
      </c>
      <c r="Y29">
        <v>118667</v>
      </c>
      <c r="Z29">
        <v>0</v>
      </c>
      <c r="AA29">
        <v>0</v>
      </c>
      <c r="AB29">
        <v>0</v>
      </c>
      <c r="AC29">
        <v>2.2278098999999999E-2</v>
      </c>
      <c r="AD29">
        <v>3.6081456999999997E-2</v>
      </c>
      <c r="AE29">
        <v>3.2767915000000002E-2</v>
      </c>
      <c r="AF29">
        <v>3.4693216999999998E-2</v>
      </c>
      <c r="AG29">
        <v>3.4168979999999998E-3</v>
      </c>
    </row>
    <row r="31" spans="1:33" x14ac:dyDescent="0.35">
      <c r="A31" t="s">
        <v>80</v>
      </c>
    </row>
    <row r="32" spans="1:33" x14ac:dyDescent="0.35">
      <c r="A32" t="s">
        <v>50</v>
      </c>
      <c r="L32" t="s">
        <v>51</v>
      </c>
      <c r="X32" t="s">
        <v>52</v>
      </c>
    </row>
    <row r="33" spans="1:33" x14ac:dyDescent="0.35">
      <c r="A33" s="1" t="s">
        <v>53</v>
      </c>
      <c r="B33" s="1" t="s">
        <v>3</v>
      </c>
      <c r="C33" s="1" t="s">
        <v>4</v>
      </c>
      <c r="D33" s="1" t="s">
        <v>5</v>
      </c>
      <c r="E33" s="1" t="s">
        <v>6</v>
      </c>
      <c r="F33" s="1" t="s">
        <v>13</v>
      </c>
      <c r="G33" s="1" t="s">
        <v>8</v>
      </c>
      <c r="H33" s="1" t="s">
        <v>9</v>
      </c>
      <c r="I33" s="1" t="s">
        <v>10</v>
      </c>
      <c r="J33" s="1" t="s">
        <v>11</v>
      </c>
      <c r="L33" s="1" t="s">
        <v>53</v>
      </c>
      <c r="M33" s="1" t="s">
        <v>3</v>
      </c>
      <c r="N33" s="1" t="s">
        <v>4</v>
      </c>
      <c r="O33" s="1" t="s">
        <v>5</v>
      </c>
      <c r="P33" s="1" t="s">
        <v>6</v>
      </c>
      <c r="Q33" s="1" t="s">
        <v>13</v>
      </c>
      <c r="R33" s="1" t="s">
        <v>8</v>
      </c>
      <c r="S33" s="1" t="s">
        <v>9</v>
      </c>
      <c r="T33" s="1" t="s">
        <v>10</v>
      </c>
      <c r="U33" s="1" t="s">
        <v>11</v>
      </c>
      <c r="X33" s="1" t="s">
        <v>53</v>
      </c>
      <c r="Y33" s="1" t="s">
        <v>3</v>
      </c>
      <c r="Z33" s="1" t="s">
        <v>4</v>
      </c>
      <c r="AA33" s="1" t="s">
        <v>5</v>
      </c>
      <c r="AB33" s="1" t="s">
        <v>6</v>
      </c>
      <c r="AC33" s="1" t="s">
        <v>13</v>
      </c>
      <c r="AD33" s="1" t="s">
        <v>8</v>
      </c>
      <c r="AE33" s="1" t="s">
        <v>9</v>
      </c>
      <c r="AF33" s="1" t="s">
        <v>10</v>
      </c>
      <c r="AG33" s="1" t="s">
        <v>11</v>
      </c>
    </row>
    <row r="34" spans="1:33" x14ac:dyDescent="0.35">
      <c r="A34">
        <v>1</v>
      </c>
      <c r="B34">
        <v>846329</v>
      </c>
      <c r="C34">
        <v>4798</v>
      </c>
      <c r="D34">
        <v>0.56691901140100365</v>
      </c>
      <c r="E34">
        <v>56.294731901912478</v>
      </c>
      <c r="F34">
        <v>0.75713235713063298</v>
      </c>
      <c r="G34">
        <v>0.91570916189534401</v>
      </c>
      <c r="H34">
        <v>0.80626737402702453</v>
      </c>
      <c r="I34">
        <v>0.79133299937684032</v>
      </c>
      <c r="J34">
        <v>4.1796654256662062E-2</v>
      </c>
      <c r="L34">
        <v>1</v>
      </c>
      <c r="M34">
        <v>195971</v>
      </c>
      <c r="N34">
        <v>1751</v>
      </c>
      <c r="O34">
        <v>0.89349954840256973</v>
      </c>
      <c r="P34">
        <v>58.192090395480221</v>
      </c>
      <c r="Q34">
        <v>0.75713273264442538</v>
      </c>
      <c r="R34">
        <v>0.91570916189534401</v>
      </c>
      <c r="S34">
        <v>0.80428761510323377</v>
      </c>
      <c r="T34">
        <v>0.78784974034527711</v>
      </c>
      <c r="U34">
        <v>4.2299080341655533E-2</v>
      </c>
      <c r="X34">
        <v>1</v>
      </c>
      <c r="Y34">
        <v>98962</v>
      </c>
      <c r="Z34">
        <v>382</v>
      </c>
      <c r="AA34">
        <v>0.38600675006568169</v>
      </c>
      <c r="AB34">
        <v>45.858343337334937</v>
      </c>
      <c r="AC34">
        <v>0.75713237544226741</v>
      </c>
      <c r="AD34">
        <v>0.91177699601457785</v>
      </c>
      <c r="AE34">
        <v>0.80436267817227414</v>
      </c>
      <c r="AF34">
        <v>0.78761459454622229</v>
      </c>
      <c r="AG34">
        <v>4.1885462221651903E-2</v>
      </c>
    </row>
    <row r="35" spans="1:33" x14ac:dyDescent="0.35">
      <c r="A35">
        <v>2</v>
      </c>
      <c r="B35">
        <v>846329</v>
      </c>
      <c r="C35">
        <v>1967</v>
      </c>
      <c r="D35">
        <v>0.23241552634968199</v>
      </c>
      <c r="E35">
        <v>23.07872814736595</v>
      </c>
      <c r="F35">
        <v>0.63210272967519598</v>
      </c>
      <c r="G35">
        <v>0.75713222690992621</v>
      </c>
      <c r="H35">
        <v>0.70729874883149635</v>
      </c>
      <c r="I35">
        <v>0.7135570953649818</v>
      </c>
      <c r="J35">
        <v>3.4866965029903878E-2</v>
      </c>
      <c r="L35">
        <v>2</v>
      </c>
      <c r="M35">
        <v>202811</v>
      </c>
      <c r="N35">
        <v>841</v>
      </c>
      <c r="O35">
        <v>0.41467178801938748</v>
      </c>
      <c r="P35">
        <v>27.949484878697241</v>
      </c>
      <c r="Q35">
        <v>0.63210714896860187</v>
      </c>
      <c r="R35">
        <v>0.75713152866653644</v>
      </c>
      <c r="S35">
        <v>0.70996465289303401</v>
      </c>
      <c r="T35">
        <v>0.71588215711224223</v>
      </c>
      <c r="U35">
        <v>3.377801150847598E-2</v>
      </c>
      <c r="X35">
        <v>2</v>
      </c>
      <c r="Y35">
        <v>106406</v>
      </c>
      <c r="Z35">
        <v>238</v>
      </c>
      <c r="AA35">
        <v>0.2236715974663083</v>
      </c>
      <c r="AB35">
        <v>28.571428571428569</v>
      </c>
      <c r="AC35">
        <v>0.63210594384860908</v>
      </c>
      <c r="AD35">
        <v>0.75713233288222526</v>
      </c>
      <c r="AE35">
        <v>0.70844625118929505</v>
      </c>
      <c r="AF35">
        <v>0.71435929615824734</v>
      </c>
      <c r="AG35">
        <v>3.3968004953944878E-2</v>
      </c>
    </row>
    <row r="36" spans="1:33" x14ac:dyDescent="0.35">
      <c r="A36">
        <v>3</v>
      </c>
      <c r="B36">
        <v>846329</v>
      </c>
      <c r="C36">
        <v>1055</v>
      </c>
      <c r="D36">
        <v>0.1246560143868401</v>
      </c>
      <c r="E36">
        <v>12.37827056200868</v>
      </c>
      <c r="F36">
        <v>0.49291992495301851</v>
      </c>
      <c r="G36">
        <v>0.63210224951491056</v>
      </c>
      <c r="H36">
        <v>0.55810722628306564</v>
      </c>
      <c r="I36">
        <v>0.55578418617096415</v>
      </c>
      <c r="J36">
        <v>3.3647701728741132E-2</v>
      </c>
      <c r="L36">
        <v>3</v>
      </c>
      <c r="M36">
        <v>240975</v>
      </c>
      <c r="N36">
        <v>287</v>
      </c>
      <c r="O36">
        <v>0.1190994916485112</v>
      </c>
      <c r="P36">
        <v>9.5380525091392485</v>
      </c>
      <c r="Q36">
        <v>0.49291992495301851</v>
      </c>
      <c r="R36">
        <v>0.63210049334977914</v>
      </c>
      <c r="S36">
        <v>0.55281708400235308</v>
      </c>
      <c r="T36">
        <v>0.54794452960550588</v>
      </c>
      <c r="U36">
        <v>3.395889433915638E-2</v>
      </c>
      <c r="X36">
        <v>3</v>
      </c>
      <c r="Y36">
        <v>132079</v>
      </c>
      <c r="Z36">
        <v>148</v>
      </c>
      <c r="AA36">
        <v>0.11205414941058001</v>
      </c>
      <c r="AB36">
        <v>17.7671068427371</v>
      </c>
      <c r="AC36">
        <v>0.49292225748607887</v>
      </c>
      <c r="AD36">
        <v>0.63209727464325405</v>
      </c>
      <c r="AE36">
        <v>0.55779948962624071</v>
      </c>
      <c r="AF36">
        <v>0.55324147987572425</v>
      </c>
      <c r="AG36">
        <v>3.2782681651724772E-2</v>
      </c>
    </row>
    <row r="37" spans="1:33" x14ac:dyDescent="0.35">
      <c r="A37">
        <v>4</v>
      </c>
      <c r="B37">
        <v>846329</v>
      </c>
      <c r="C37">
        <v>467</v>
      </c>
      <c r="D37">
        <v>5.5179486937113109E-2</v>
      </c>
      <c r="E37">
        <v>5.4792913293441279</v>
      </c>
      <c r="F37">
        <v>0.15664100342098669</v>
      </c>
      <c r="G37">
        <v>0.49291992495301851</v>
      </c>
      <c r="H37">
        <v>0.3226511372045322</v>
      </c>
      <c r="I37">
        <v>0.33452672111023701</v>
      </c>
      <c r="J37">
        <v>0.1028421902368695</v>
      </c>
      <c r="L37">
        <v>4</v>
      </c>
      <c r="M37">
        <v>125305</v>
      </c>
      <c r="N37">
        <v>99</v>
      </c>
      <c r="O37">
        <v>7.9007222377399142E-2</v>
      </c>
      <c r="P37">
        <v>3.2901296111665008</v>
      </c>
      <c r="Q37">
        <v>0.15666518616802469</v>
      </c>
      <c r="R37">
        <v>0.49291890320233489</v>
      </c>
      <c r="S37">
        <v>0.36539462058994088</v>
      </c>
      <c r="T37">
        <v>0.372959604291355</v>
      </c>
      <c r="U37">
        <v>8.587124433669302E-2</v>
      </c>
      <c r="X37">
        <v>4</v>
      </c>
      <c r="Y37">
        <v>81728</v>
      </c>
      <c r="Z37">
        <v>58</v>
      </c>
      <c r="AA37">
        <v>7.0967110415035228E-2</v>
      </c>
      <c r="AB37">
        <v>6.9627851140456176</v>
      </c>
      <c r="AC37">
        <v>0.15666518616802469</v>
      </c>
      <c r="AD37">
        <v>0.49291890320233489</v>
      </c>
      <c r="AE37">
        <v>0.356391454040619</v>
      </c>
      <c r="AF37">
        <v>0.36008081274599829</v>
      </c>
      <c r="AG37">
        <v>8.7210766806879628E-2</v>
      </c>
    </row>
    <row r="38" spans="1:33" x14ac:dyDescent="0.35">
      <c r="A38">
        <v>5</v>
      </c>
      <c r="B38">
        <v>846329</v>
      </c>
      <c r="C38">
        <v>120</v>
      </c>
      <c r="D38">
        <v>1.4178883153005511E-2</v>
      </c>
      <c r="E38">
        <v>1.4079549454417459</v>
      </c>
      <c r="F38">
        <v>8.5292840613426402E-2</v>
      </c>
      <c r="G38">
        <v>0.15664100342098669</v>
      </c>
      <c r="H38">
        <v>0.113586998939998</v>
      </c>
      <c r="I38">
        <v>0.1090332719407293</v>
      </c>
      <c r="J38">
        <v>1.9888560218785239E-2</v>
      </c>
      <c r="L38">
        <v>5</v>
      </c>
      <c r="M38">
        <v>86561</v>
      </c>
      <c r="N38">
        <v>4</v>
      </c>
      <c r="O38">
        <v>4.6210187035732016E-3</v>
      </c>
      <c r="P38">
        <v>0.132934529744101</v>
      </c>
      <c r="Q38">
        <v>8.5292840613426402E-2</v>
      </c>
      <c r="R38">
        <v>0.15660642060680269</v>
      </c>
      <c r="S38">
        <v>0.10593209343493019</v>
      </c>
      <c r="T38">
        <v>0.102168431919853</v>
      </c>
      <c r="U38">
        <v>1.6901192158702449E-2</v>
      </c>
      <c r="X38">
        <v>5</v>
      </c>
      <c r="Y38">
        <v>34824</v>
      </c>
      <c r="Z38">
        <v>0</v>
      </c>
      <c r="AA38">
        <v>0</v>
      </c>
      <c r="AB38">
        <v>0</v>
      </c>
      <c r="AC38">
        <v>8.5292840613426402E-2</v>
      </c>
      <c r="AD38">
        <v>0.15653446356821379</v>
      </c>
      <c r="AE38">
        <v>0.10530422638336739</v>
      </c>
      <c r="AF38">
        <v>0.1010336746034132</v>
      </c>
      <c r="AG38">
        <v>1.7412483864827018E-2</v>
      </c>
    </row>
    <row r="39" spans="1:33" x14ac:dyDescent="0.35">
      <c r="A39">
        <v>6</v>
      </c>
      <c r="B39">
        <v>846329</v>
      </c>
      <c r="C39">
        <v>46</v>
      </c>
      <c r="D39">
        <v>5.4352385419854446E-3</v>
      </c>
      <c r="E39">
        <v>0.5397160624193359</v>
      </c>
      <c r="F39">
        <v>6.3998909465110485E-2</v>
      </c>
      <c r="G39">
        <v>8.5292840613426402E-2</v>
      </c>
      <c r="H39">
        <v>7.1613596690783252E-2</v>
      </c>
      <c r="I39">
        <v>6.9809173097466024E-2</v>
      </c>
      <c r="J39">
        <v>5.9499333528171437E-3</v>
      </c>
      <c r="L39">
        <v>6</v>
      </c>
      <c r="M39">
        <v>202070</v>
      </c>
      <c r="N39">
        <v>10</v>
      </c>
      <c r="O39">
        <v>4.9487801256990153E-3</v>
      </c>
      <c r="P39">
        <v>0.33233632436025262</v>
      </c>
      <c r="Q39">
        <v>6.3998909465110485E-2</v>
      </c>
      <c r="R39">
        <v>8.529106358193525E-2</v>
      </c>
      <c r="S39">
        <v>7.0870059311989225E-2</v>
      </c>
      <c r="T39">
        <v>6.8332263400823309E-2</v>
      </c>
      <c r="U39">
        <v>5.5899717903644197E-3</v>
      </c>
      <c r="X39">
        <v>6</v>
      </c>
      <c r="Y39">
        <v>98423</v>
      </c>
      <c r="Z39">
        <v>1</v>
      </c>
      <c r="AA39">
        <v>1.0160226776261649E-3</v>
      </c>
      <c r="AB39">
        <v>0.1200480192076831</v>
      </c>
      <c r="AC39">
        <v>6.3998909465110485E-2</v>
      </c>
      <c r="AD39">
        <v>8.529106358193525E-2</v>
      </c>
      <c r="AE39">
        <v>7.0901860258455185E-2</v>
      </c>
      <c r="AF39">
        <v>6.8095091045716039E-2</v>
      </c>
      <c r="AG39">
        <v>5.4469438089861594E-3</v>
      </c>
    </row>
    <row r="40" spans="1:33" x14ac:dyDescent="0.35">
      <c r="A40">
        <v>7</v>
      </c>
      <c r="B40">
        <v>846329</v>
      </c>
      <c r="C40">
        <v>34</v>
      </c>
      <c r="D40">
        <v>4.0173502266848942E-3</v>
      </c>
      <c r="E40">
        <v>0.39892056787516128</v>
      </c>
      <c r="F40">
        <v>4.8094613764949487E-2</v>
      </c>
      <c r="G40">
        <v>6.3998909465110485E-2</v>
      </c>
      <c r="H40">
        <v>5.5068986972756778E-2</v>
      </c>
      <c r="I40">
        <v>5.4213175165428833E-2</v>
      </c>
      <c r="J40">
        <v>4.1651949048783238E-3</v>
      </c>
      <c r="L40">
        <v>7</v>
      </c>
      <c r="M40">
        <v>212936</v>
      </c>
      <c r="N40">
        <v>16</v>
      </c>
      <c r="O40">
        <v>7.5139948153435769E-3</v>
      </c>
      <c r="P40">
        <v>0.53173811897640411</v>
      </c>
      <c r="Q40">
        <v>4.8094613764949487E-2</v>
      </c>
      <c r="R40">
        <v>6.399714636610071E-2</v>
      </c>
      <c r="S40">
        <v>5.4991409789280729E-2</v>
      </c>
      <c r="T40">
        <v>5.4213175165428833E-2</v>
      </c>
      <c r="U40">
        <v>4.0863222479725946E-3</v>
      </c>
      <c r="X40">
        <v>7</v>
      </c>
      <c r="Y40">
        <v>107509</v>
      </c>
      <c r="Z40">
        <v>4</v>
      </c>
      <c r="AA40">
        <v>3.7206187388962781E-3</v>
      </c>
      <c r="AB40">
        <v>0.48019207683073228</v>
      </c>
      <c r="AC40">
        <v>4.8094613764949487E-2</v>
      </c>
      <c r="AD40">
        <v>6.3995624419296113E-2</v>
      </c>
      <c r="AE40">
        <v>5.4923214133707973E-2</v>
      </c>
      <c r="AF40">
        <v>5.4213175165428833E-2</v>
      </c>
      <c r="AG40">
        <v>4.0667348903640679E-3</v>
      </c>
    </row>
    <row r="41" spans="1:33" x14ac:dyDescent="0.35">
      <c r="A41">
        <v>8</v>
      </c>
      <c r="B41">
        <v>846328</v>
      </c>
      <c r="C41">
        <v>25</v>
      </c>
      <c r="D41">
        <v>2.9539374805040131E-3</v>
      </c>
      <c r="E41">
        <v>0.2933239469670304</v>
      </c>
      <c r="F41">
        <v>4.0555446787366743E-2</v>
      </c>
      <c r="G41">
        <v>4.8094613764949487E-2</v>
      </c>
      <c r="H41">
        <v>4.4016584856521837E-2</v>
      </c>
      <c r="I41">
        <v>4.3772261907533062E-2</v>
      </c>
      <c r="J41">
        <v>1.5955578786140711E-3</v>
      </c>
      <c r="L41">
        <v>8</v>
      </c>
      <c r="M41">
        <v>206269</v>
      </c>
      <c r="N41">
        <v>1</v>
      </c>
      <c r="O41">
        <v>4.8480382413256478E-4</v>
      </c>
      <c r="P41">
        <v>3.3233632436025257E-2</v>
      </c>
      <c r="Q41">
        <v>4.0555446787366743E-2</v>
      </c>
      <c r="R41">
        <v>4.8092252074449733E-2</v>
      </c>
      <c r="S41">
        <v>4.3795883903058989E-2</v>
      </c>
      <c r="T41">
        <v>4.3429542307670939E-2</v>
      </c>
      <c r="U41">
        <v>1.7325814120473569E-3</v>
      </c>
      <c r="X41">
        <v>8</v>
      </c>
      <c r="Y41">
        <v>102813</v>
      </c>
      <c r="Z41">
        <v>2</v>
      </c>
      <c r="AA41">
        <v>1.9452792934745609E-3</v>
      </c>
      <c r="AB41">
        <v>0.24009603841536609</v>
      </c>
      <c r="AC41">
        <v>4.0555446787366743E-2</v>
      </c>
      <c r="AD41">
        <v>4.8092798216751768E-2</v>
      </c>
      <c r="AE41">
        <v>4.3983889451760162E-2</v>
      </c>
      <c r="AF41">
        <v>4.3590236232495243E-2</v>
      </c>
      <c r="AG41">
        <v>1.6580968060747631E-3</v>
      </c>
    </row>
    <row r="42" spans="1:33" x14ac:dyDescent="0.35">
      <c r="A42">
        <v>9</v>
      </c>
      <c r="B42">
        <v>846328</v>
      </c>
      <c r="C42">
        <v>9</v>
      </c>
      <c r="D42">
        <v>1.063417492981445E-3</v>
      </c>
      <c r="E42">
        <v>0.10559662090813091</v>
      </c>
      <c r="F42">
        <v>3.421838671616647E-2</v>
      </c>
      <c r="G42">
        <v>4.0555446787366743E-2</v>
      </c>
      <c r="H42">
        <v>3.7348734618228352E-2</v>
      </c>
      <c r="I42">
        <v>3.75153222170981E-2</v>
      </c>
      <c r="J42">
        <v>2.030832595107009E-3</v>
      </c>
      <c r="L42">
        <v>9</v>
      </c>
      <c r="M42">
        <v>209616</v>
      </c>
      <c r="N42">
        <v>0</v>
      </c>
      <c r="O42">
        <v>0</v>
      </c>
      <c r="P42">
        <v>0</v>
      </c>
      <c r="Q42">
        <v>3.421838671616647E-2</v>
      </c>
      <c r="R42">
        <v>4.0543865163236499E-2</v>
      </c>
      <c r="S42">
        <v>3.7252510439420287E-2</v>
      </c>
      <c r="T42">
        <v>3.7130776859200541E-2</v>
      </c>
      <c r="U42">
        <v>2.077961786544603E-3</v>
      </c>
      <c r="X42">
        <v>9</v>
      </c>
      <c r="Y42">
        <v>104940</v>
      </c>
      <c r="Z42">
        <v>0</v>
      </c>
      <c r="AA42">
        <v>0</v>
      </c>
      <c r="AB42">
        <v>0</v>
      </c>
      <c r="AC42">
        <v>3.421838671616647E-2</v>
      </c>
      <c r="AD42">
        <v>4.0543865163236499E-2</v>
      </c>
      <c r="AE42">
        <v>3.7222977155381649E-2</v>
      </c>
      <c r="AF42">
        <v>3.7130776859200541E-2</v>
      </c>
      <c r="AG42">
        <v>2.0192057530195539E-3</v>
      </c>
    </row>
    <row r="43" spans="1:33" x14ac:dyDescent="0.35">
      <c r="A43">
        <v>10</v>
      </c>
      <c r="B43">
        <v>846328</v>
      </c>
      <c r="C43">
        <v>2</v>
      </c>
      <c r="D43">
        <v>2.3631499844032101E-4</v>
      </c>
      <c r="E43">
        <v>2.346591575736243E-2</v>
      </c>
      <c r="F43">
        <v>1.8253542531122831E-2</v>
      </c>
      <c r="G43">
        <v>3.421838671616647E-2</v>
      </c>
      <c r="H43">
        <v>2.994941212470811E-2</v>
      </c>
      <c r="I43">
        <v>3.1719306687602318E-2</v>
      </c>
      <c r="J43">
        <v>4.5338367234523556E-3</v>
      </c>
      <c r="L43">
        <v>10</v>
      </c>
      <c r="M43">
        <v>276082</v>
      </c>
      <c r="N43">
        <v>0</v>
      </c>
      <c r="O43">
        <v>0</v>
      </c>
      <c r="P43">
        <v>0</v>
      </c>
      <c r="Q43">
        <v>1.8253542531122831E-2</v>
      </c>
      <c r="R43">
        <v>3.4216526190834783E-2</v>
      </c>
      <c r="S43">
        <v>3.043001629381905E-2</v>
      </c>
      <c r="T43">
        <v>3.1735904814861868E-2</v>
      </c>
      <c r="U43">
        <v>4.3942121367533983E-3</v>
      </c>
      <c r="X43">
        <v>10</v>
      </c>
      <c r="Y43">
        <v>147156</v>
      </c>
      <c r="Z43">
        <v>0</v>
      </c>
      <c r="AA43">
        <v>0</v>
      </c>
      <c r="AB43">
        <v>0</v>
      </c>
      <c r="AC43">
        <v>1.8253542531122831E-2</v>
      </c>
      <c r="AD43">
        <v>3.4216526190834783E-2</v>
      </c>
      <c r="AE43">
        <v>3.0522059394751541E-2</v>
      </c>
      <c r="AF43">
        <v>3.1735904814861868E-2</v>
      </c>
      <c r="AG43">
        <v>4.3389992817370361E-3</v>
      </c>
    </row>
    <row r="45" spans="1:33" x14ac:dyDescent="0.35">
      <c r="A45" t="s">
        <v>81</v>
      </c>
    </row>
    <row r="46" spans="1:33" x14ac:dyDescent="0.35">
      <c r="A46" t="s">
        <v>49</v>
      </c>
    </row>
    <row r="47" spans="1:33" x14ac:dyDescent="0.35">
      <c r="A47" t="s">
        <v>50</v>
      </c>
      <c r="L47" t="s">
        <v>51</v>
      </c>
      <c r="X47" t="s">
        <v>52</v>
      </c>
    </row>
    <row r="48" spans="1:33" x14ac:dyDescent="0.35">
      <c r="A48" s="1" t="s">
        <v>53</v>
      </c>
      <c r="B48" s="1" t="s">
        <v>3</v>
      </c>
      <c r="C48" s="1" t="s">
        <v>4</v>
      </c>
      <c r="D48" s="1" t="s">
        <v>5</v>
      </c>
      <c r="E48" s="1" t="s">
        <v>6</v>
      </c>
      <c r="F48" s="1" t="s">
        <v>13</v>
      </c>
      <c r="G48" s="1" t="s">
        <v>8</v>
      </c>
      <c r="H48" s="1" t="s">
        <v>9</v>
      </c>
      <c r="I48" s="1" t="s">
        <v>10</v>
      </c>
      <c r="J48" s="1" t="s">
        <v>11</v>
      </c>
      <c r="L48" s="1" t="s">
        <v>53</v>
      </c>
      <c r="M48" s="1" t="s">
        <v>3</v>
      </c>
      <c r="N48" s="1" t="s">
        <v>4</v>
      </c>
      <c r="O48" s="1" t="s">
        <v>5</v>
      </c>
      <c r="P48" s="1" t="s">
        <v>6</v>
      </c>
      <c r="Q48" s="1" t="s">
        <v>13</v>
      </c>
      <c r="R48" s="1" t="s">
        <v>8</v>
      </c>
      <c r="S48" s="1" t="s">
        <v>9</v>
      </c>
      <c r="T48" s="1" t="s">
        <v>10</v>
      </c>
      <c r="U48" s="1" t="s">
        <v>11</v>
      </c>
      <c r="X48" s="1" t="s">
        <v>53</v>
      </c>
      <c r="Y48" s="1" t="s">
        <v>3</v>
      </c>
      <c r="Z48" s="1" t="s">
        <v>4</v>
      </c>
      <c r="AA48" s="1" t="s">
        <v>5</v>
      </c>
      <c r="AB48" s="1" t="s">
        <v>6</v>
      </c>
      <c r="AC48" s="1" t="s">
        <v>13</v>
      </c>
      <c r="AD48" s="1" t="s">
        <v>8</v>
      </c>
      <c r="AE48" s="1" t="s">
        <v>9</v>
      </c>
      <c r="AF48" s="1" t="s">
        <v>10</v>
      </c>
      <c r="AG48" s="1" t="s">
        <v>11</v>
      </c>
    </row>
    <row r="49" spans="1:33" x14ac:dyDescent="0.35">
      <c r="A49">
        <v>1</v>
      </c>
      <c r="B49">
        <v>846329</v>
      </c>
      <c r="C49">
        <v>4833</v>
      </c>
      <c r="D49">
        <v>0.57105451898729687</v>
      </c>
      <c r="E49">
        <v>56.705385427666307</v>
      </c>
      <c r="F49">
        <v>0.75785137422219506</v>
      </c>
      <c r="G49">
        <v>0.92844059362636022</v>
      </c>
      <c r="H49">
        <v>0.80627911195466162</v>
      </c>
      <c r="I49">
        <v>0.79127360051967044</v>
      </c>
      <c r="J49">
        <v>4.1647849362428498E-2</v>
      </c>
      <c r="L49">
        <v>1</v>
      </c>
      <c r="M49">
        <v>196481</v>
      </c>
      <c r="N49">
        <v>1814</v>
      </c>
      <c r="O49">
        <v>0.9232444867442654</v>
      </c>
      <c r="P49">
        <v>60.285809238949817</v>
      </c>
      <c r="Q49">
        <v>0.75785435161495873</v>
      </c>
      <c r="R49">
        <v>0.92788745038385656</v>
      </c>
      <c r="S49">
        <v>0.80377169423611339</v>
      </c>
      <c r="T49">
        <v>0.78857581908100427</v>
      </c>
      <c r="U49">
        <v>4.1542769598377577E-2</v>
      </c>
      <c r="X49">
        <v>1</v>
      </c>
      <c r="Y49">
        <v>97883</v>
      </c>
      <c r="Z49">
        <v>377</v>
      </c>
      <c r="AA49">
        <v>0.38515370391181308</v>
      </c>
      <c r="AB49">
        <v>45.258103241296517</v>
      </c>
      <c r="AC49">
        <v>0.75785189999232472</v>
      </c>
      <c r="AD49">
        <v>0.91638500700867698</v>
      </c>
      <c r="AE49">
        <v>0.80357870458652036</v>
      </c>
      <c r="AF49">
        <v>0.7884978272912645</v>
      </c>
      <c r="AG49">
        <v>4.0358444151078893E-2</v>
      </c>
    </row>
    <row r="50" spans="1:33" x14ac:dyDescent="0.35">
      <c r="A50">
        <v>2</v>
      </c>
      <c r="B50">
        <v>846329</v>
      </c>
      <c r="C50">
        <v>2006</v>
      </c>
      <c r="D50">
        <v>0.23702366337440869</v>
      </c>
      <c r="E50">
        <v>23.536313504634521</v>
      </c>
      <c r="F50">
        <v>0.62413795409621231</v>
      </c>
      <c r="G50">
        <v>0.75785135286952676</v>
      </c>
      <c r="H50">
        <v>0.70396628660003402</v>
      </c>
      <c r="I50">
        <v>0.71077368147517173</v>
      </c>
      <c r="J50">
        <v>3.7585057411369457E-2</v>
      </c>
      <c r="L50">
        <v>2</v>
      </c>
      <c r="M50">
        <v>204623</v>
      </c>
      <c r="N50">
        <v>817</v>
      </c>
      <c r="O50">
        <v>0.39927085420505032</v>
      </c>
      <c r="P50">
        <v>27.151877700232639</v>
      </c>
      <c r="Q50">
        <v>0.62414460329411581</v>
      </c>
      <c r="R50">
        <v>0.75785117819540404</v>
      </c>
      <c r="S50">
        <v>0.70530897716008401</v>
      </c>
      <c r="T50">
        <v>0.71138482810883952</v>
      </c>
      <c r="U50">
        <v>3.6695486443493769E-2</v>
      </c>
      <c r="X50">
        <v>2</v>
      </c>
      <c r="Y50">
        <v>108099</v>
      </c>
      <c r="Z50">
        <v>247</v>
      </c>
      <c r="AA50">
        <v>0.22849425064061649</v>
      </c>
      <c r="AB50">
        <v>29.651860744297721</v>
      </c>
      <c r="AC50">
        <v>0.62415201625985883</v>
      </c>
      <c r="AD50">
        <v>0.75785135286952676</v>
      </c>
      <c r="AE50">
        <v>0.70428194198358285</v>
      </c>
      <c r="AF50">
        <v>0.71067527650022977</v>
      </c>
      <c r="AG50">
        <v>3.7163390893280628E-2</v>
      </c>
    </row>
    <row r="51" spans="1:33" x14ac:dyDescent="0.35">
      <c r="A51">
        <v>3</v>
      </c>
      <c r="B51">
        <v>846329</v>
      </c>
      <c r="C51">
        <v>1010</v>
      </c>
      <c r="D51">
        <v>0.11933893320446309</v>
      </c>
      <c r="E51">
        <v>11.850287457468029</v>
      </c>
      <c r="F51">
        <v>0.49144116340465849</v>
      </c>
      <c r="G51">
        <v>0.62413783149581881</v>
      </c>
      <c r="H51">
        <v>0.55298277727971468</v>
      </c>
      <c r="I51">
        <v>0.55276290925194316</v>
      </c>
      <c r="J51">
        <v>3.2722234521207517E-2</v>
      </c>
      <c r="L51">
        <v>3</v>
      </c>
      <c r="M51">
        <v>235949</v>
      </c>
      <c r="N51">
        <v>252</v>
      </c>
      <c r="O51">
        <v>0.1068027412703593</v>
      </c>
      <c r="P51">
        <v>8.3748753738783659</v>
      </c>
      <c r="Q51">
        <v>0.49144300473086638</v>
      </c>
      <c r="R51">
        <v>0.62413725483959703</v>
      </c>
      <c r="S51">
        <v>0.54745460194749596</v>
      </c>
      <c r="T51">
        <v>0.54478621051370701</v>
      </c>
      <c r="U51">
        <v>3.2607336155020317E-2</v>
      </c>
      <c r="X51">
        <v>3</v>
      </c>
      <c r="Y51">
        <v>131159</v>
      </c>
      <c r="Z51">
        <v>147</v>
      </c>
      <c r="AA51">
        <v>0.1120777072103325</v>
      </c>
      <c r="AB51">
        <v>17.647058823529409</v>
      </c>
      <c r="AC51">
        <v>0.49144300473086638</v>
      </c>
      <c r="AD51">
        <v>0.62413750997425566</v>
      </c>
      <c r="AE51">
        <v>0.55360896713797081</v>
      </c>
      <c r="AF51">
        <v>0.55188320024097859</v>
      </c>
      <c r="AG51">
        <v>3.1409215131198813E-2</v>
      </c>
    </row>
    <row r="52" spans="1:33" x14ac:dyDescent="0.35">
      <c r="A52">
        <v>4</v>
      </c>
      <c r="B52">
        <v>846329</v>
      </c>
      <c r="C52">
        <v>448</v>
      </c>
      <c r="D52">
        <v>5.2934497104553897E-2</v>
      </c>
      <c r="E52">
        <v>5.2563651296491836</v>
      </c>
      <c r="F52">
        <v>0.15569600161841349</v>
      </c>
      <c r="G52">
        <v>0.49144109143405668</v>
      </c>
      <c r="H52">
        <v>0.32283419282606052</v>
      </c>
      <c r="I52">
        <v>0.33510050067093528</v>
      </c>
      <c r="J52">
        <v>0.10684936840067009</v>
      </c>
      <c r="L52">
        <v>4</v>
      </c>
      <c r="M52">
        <v>128521</v>
      </c>
      <c r="N52">
        <v>95</v>
      </c>
      <c r="O52">
        <v>7.3917881124485482E-2</v>
      </c>
      <c r="P52">
        <v>3.1571950814224001</v>
      </c>
      <c r="Q52">
        <v>0.1557008255110669</v>
      </c>
      <c r="R52">
        <v>0.49144087464552372</v>
      </c>
      <c r="S52">
        <v>0.36949989335884381</v>
      </c>
      <c r="T52">
        <v>0.38704832431172531</v>
      </c>
      <c r="U52">
        <v>9.2175669745884162E-2</v>
      </c>
      <c r="X52">
        <v>4</v>
      </c>
      <c r="Y52">
        <v>81452</v>
      </c>
      <c r="Z52">
        <v>55</v>
      </c>
      <c r="AA52">
        <v>6.7524431567057897E-2</v>
      </c>
      <c r="AB52">
        <v>6.602641056422569</v>
      </c>
      <c r="AC52">
        <v>0.15570042324185079</v>
      </c>
      <c r="AD52">
        <v>0.49143209316398939</v>
      </c>
      <c r="AE52">
        <v>0.35782747346618321</v>
      </c>
      <c r="AF52">
        <v>0.37543947533621858</v>
      </c>
      <c r="AG52">
        <v>9.2829763057463974E-2</v>
      </c>
    </row>
    <row r="53" spans="1:33" x14ac:dyDescent="0.35">
      <c r="A53">
        <v>5</v>
      </c>
      <c r="B53">
        <v>846329</v>
      </c>
      <c r="C53">
        <v>106</v>
      </c>
      <c r="D53">
        <v>1.25246801184882E-2</v>
      </c>
      <c r="E53">
        <v>1.243693535140209</v>
      </c>
      <c r="F53">
        <v>8.1371062417736742E-2</v>
      </c>
      <c r="G53">
        <v>0.15569600161841349</v>
      </c>
      <c r="H53">
        <v>0.1120138688855076</v>
      </c>
      <c r="I53">
        <v>0.1084894057960558</v>
      </c>
      <c r="J53">
        <v>2.0390690913127282E-2</v>
      </c>
      <c r="L53">
        <v>5</v>
      </c>
      <c r="M53">
        <v>82313</v>
      </c>
      <c r="N53">
        <v>4</v>
      </c>
      <c r="O53">
        <v>4.859499714504392E-3</v>
      </c>
      <c r="P53">
        <v>0.132934529744101</v>
      </c>
      <c r="Q53">
        <v>8.1371062417736742E-2</v>
      </c>
      <c r="R53">
        <v>0.1556921602434429</v>
      </c>
      <c r="S53">
        <v>0.10538706425381909</v>
      </c>
      <c r="T53">
        <v>0.1018402015627648</v>
      </c>
      <c r="U53">
        <v>1.7997353785053918E-2</v>
      </c>
      <c r="X53">
        <v>5</v>
      </c>
      <c r="Y53">
        <v>32529</v>
      </c>
      <c r="Z53">
        <v>0</v>
      </c>
      <c r="AA53">
        <v>0</v>
      </c>
      <c r="AB53">
        <v>0</v>
      </c>
      <c r="AC53">
        <v>8.1371062417736742E-2</v>
      </c>
      <c r="AD53">
        <v>0.15568187669772801</v>
      </c>
      <c r="AE53">
        <v>0.105908672432429</v>
      </c>
      <c r="AF53">
        <v>0.1019371013850203</v>
      </c>
      <c r="AG53">
        <v>1.899365630267082E-2</v>
      </c>
    </row>
    <row r="54" spans="1:33" x14ac:dyDescent="0.35">
      <c r="A54">
        <v>6</v>
      </c>
      <c r="B54">
        <v>846329</v>
      </c>
      <c r="C54">
        <v>57</v>
      </c>
      <c r="D54">
        <v>6.7349694976776174E-3</v>
      </c>
      <c r="E54">
        <v>0.66877859908482928</v>
      </c>
      <c r="F54">
        <v>5.8721694783803437E-2</v>
      </c>
      <c r="G54">
        <v>8.1371062417736742E-2</v>
      </c>
      <c r="H54">
        <v>6.9397573505785126E-2</v>
      </c>
      <c r="I54">
        <v>6.9410456076388682E-2</v>
      </c>
      <c r="J54">
        <v>5.6293943002217392E-3</v>
      </c>
      <c r="L54">
        <v>6</v>
      </c>
      <c r="M54">
        <v>205269</v>
      </c>
      <c r="N54">
        <v>14</v>
      </c>
      <c r="O54">
        <v>6.8203187037497136E-3</v>
      </c>
      <c r="P54">
        <v>0.46527085410435359</v>
      </c>
      <c r="Q54">
        <v>5.8722531195580747E-2</v>
      </c>
      <c r="R54">
        <v>8.1368229202959913E-2</v>
      </c>
      <c r="S54">
        <v>6.948825244913516E-2</v>
      </c>
      <c r="T54">
        <v>6.9410456076388682E-2</v>
      </c>
      <c r="U54">
        <v>5.304825587247439E-3</v>
      </c>
      <c r="X54">
        <v>6</v>
      </c>
      <c r="Y54">
        <v>100061</v>
      </c>
      <c r="Z54">
        <v>1</v>
      </c>
      <c r="AA54">
        <v>9.9939037187315744E-4</v>
      </c>
      <c r="AB54">
        <v>0.1200480192076831</v>
      </c>
      <c r="AC54">
        <v>5.872287410606012E-2</v>
      </c>
      <c r="AD54">
        <v>8.1368106156316566E-2</v>
      </c>
      <c r="AE54">
        <v>6.906761798609691E-2</v>
      </c>
      <c r="AF54">
        <v>6.8124222002963336E-2</v>
      </c>
      <c r="AG54">
        <v>5.0452520254265134E-3</v>
      </c>
    </row>
    <row r="55" spans="1:33" x14ac:dyDescent="0.35">
      <c r="A55">
        <v>7</v>
      </c>
      <c r="B55">
        <v>846329</v>
      </c>
      <c r="C55">
        <v>37</v>
      </c>
      <c r="D55">
        <v>4.3718223055100322E-3</v>
      </c>
      <c r="E55">
        <v>0.43411944151120502</v>
      </c>
      <c r="F55">
        <v>4.2196163208669688E-2</v>
      </c>
      <c r="G55">
        <v>5.8721694783803437E-2</v>
      </c>
      <c r="H55">
        <v>5.0180264866799253E-2</v>
      </c>
      <c r="I55">
        <v>4.992952378942838E-2</v>
      </c>
      <c r="J55">
        <v>4.7454103511896974E-3</v>
      </c>
      <c r="L55">
        <v>7</v>
      </c>
      <c r="M55">
        <v>211458</v>
      </c>
      <c r="N55">
        <v>11</v>
      </c>
      <c r="O55">
        <v>5.2019786435131329E-3</v>
      </c>
      <c r="P55">
        <v>0.36556995679627791</v>
      </c>
      <c r="Q55">
        <v>4.2196163208669688E-2</v>
      </c>
      <c r="R55">
        <v>5.8720616282924597E-2</v>
      </c>
      <c r="S55">
        <v>4.9820212655049198E-2</v>
      </c>
      <c r="T55">
        <v>4.9651076834127263E-2</v>
      </c>
      <c r="U55">
        <v>5.0929742179487997E-3</v>
      </c>
      <c r="X55">
        <v>7</v>
      </c>
      <c r="Y55">
        <v>105236</v>
      </c>
      <c r="Z55">
        <v>4</v>
      </c>
      <c r="AA55">
        <v>3.800980653008477E-3</v>
      </c>
      <c r="AB55">
        <v>0.48019207683073228</v>
      </c>
      <c r="AC55">
        <v>4.2196163208669688E-2</v>
      </c>
      <c r="AD55">
        <v>5.8721617710261187E-2</v>
      </c>
      <c r="AE55">
        <v>5.0045488383835053E-2</v>
      </c>
      <c r="AF55">
        <v>4.9929537405551762E-2</v>
      </c>
      <c r="AG55">
        <v>5.040078871820626E-3</v>
      </c>
    </row>
    <row r="56" spans="1:33" x14ac:dyDescent="0.35">
      <c r="A56">
        <v>8</v>
      </c>
      <c r="B56">
        <v>846328</v>
      </c>
      <c r="C56">
        <v>17</v>
      </c>
      <c r="D56">
        <v>2.008677486742729E-3</v>
      </c>
      <c r="E56">
        <v>0.19946028393758061</v>
      </c>
      <c r="F56">
        <v>3.6396893116698088E-2</v>
      </c>
      <c r="G56">
        <v>4.2196163208669688E-2</v>
      </c>
      <c r="H56">
        <v>3.9386507392986402E-2</v>
      </c>
      <c r="I56">
        <v>3.9667256438979788E-2</v>
      </c>
      <c r="J56">
        <v>1.9776626756030842E-3</v>
      </c>
      <c r="L56">
        <v>8</v>
      </c>
      <c r="M56">
        <v>189388</v>
      </c>
      <c r="N56">
        <v>2</v>
      </c>
      <c r="O56">
        <v>1.056033117198555E-3</v>
      </c>
      <c r="P56">
        <v>6.6467264872050513E-2</v>
      </c>
      <c r="Q56">
        <v>3.6396893116698088E-2</v>
      </c>
      <c r="R56">
        <v>4.2195812884945748E-2</v>
      </c>
      <c r="S56">
        <v>3.9281503466492527E-2</v>
      </c>
      <c r="T56">
        <v>3.866422109195157E-2</v>
      </c>
      <c r="U56">
        <v>2.1188987010804031E-3</v>
      </c>
      <c r="X56">
        <v>8</v>
      </c>
      <c r="Y56">
        <v>94797</v>
      </c>
      <c r="Z56">
        <v>2</v>
      </c>
      <c r="AA56">
        <v>2.109771406268131E-3</v>
      </c>
      <c r="AB56">
        <v>0.24009603841536609</v>
      </c>
      <c r="AC56">
        <v>3.6396893116698088E-2</v>
      </c>
      <c r="AD56">
        <v>4.2191009912235983E-2</v>
      </c>
      <c r="AE56">
        <v>3.9550265576962403E-2</v>
      </c>
      <c r="AF56">
        <v>3.9943295273835382E-2</v>
      </c>
      <c r="AG56">
        <v>2.0578382266664718E-3</v>
      </c>
    </row>
    <row r="57" spans="1:33" x14ac:dyDescent="0.35">
      <c r="A57">
        <v>9</v>
      </c>
      <c r="B57">
        <v>846328</v>
      </c>
      <c r="C57">
        <v>7</v>
      </c>
      <c r="D57">
        <v>8.2710249454112346E-4</v>
      </c>
      <c r="E57">
        <v>8.2130705150768507E-2</v>
      </c>
      <c r="F57">
        <v>3.2388287235590577E-2</v>
      </c>
      <c r="G57">
        <v>3.6396893116698088E-2</v>
      </c>
      <c r="H57">
        <v>3.4052789490591782E-2</v>
      </c>
      <c r="I57">
        <v>3.402449974574074E-2</v>
      </c>
      <c r="J57">
        <v>1.2345386386195629E-3</v>
      </c>
      <c r="L57">
        <v>9</v>
      </c>
      <c r="M57">
        <v>233206</v>
      </c>
      <c r="N57">
        <v>0</v>
      </c>
      <c r="O57">
        <v>0</v>
      </c>
      <c r="P57">
        <v>0</v>
      </c>
      <c r="Q57">
        <v>3.2388287235590577E-2</v>
      </c>
      <c r="R57">
        <v>3.6394070808257031E-2</v>
      </c>
      <c r="S57">
        <v>3.4080277941041827E-2</v>
      </c>
      <c r="T57">
        <v>3.4046805768873437E-2</v>
      </c>
      <c r="U57">
        <v>1.291982849990449E-3</v>
      </c>
      <c r="X57">
        <v>9</v>
      </c>
      <c r="Y57">
        <v>121349</v>
      </c>
      <c r="Z57">
        <v>0</v>
      </c>
      <c r="AA57">
        <v>0</v>
      </c>
      <c r="AB57">
        <v>0</v>
      </c>
      <c r="AC57">
        <v>3.2388287235590577E-2</v>
      </c>
      <c r="AD57">
        <v>3.6394034080094548E-2</v>
      </c>
      <c r="AE57">
        <v>3.4043451341222553E-2</v>
      </c>
      <c r="AF57">
        <v>3.3967470514063999E-2</v>
      </c>
      <c r="AG57">
        <v>1.253368378384035E-3</v>
      </c>
    </row>
    <row r="58" spans="1:33" x14ac:dyDescent="0.35">
      <c r="A58">
        <v>10</v>
      </c>
      <c r="B58">
        <v>846328</v>
      </c>
      <c r="C58">
        <v>2</v>
      </c>
      <c r="D58">
        <v>2.3631499844032101E-4</v>
      </c>
      <c r="E58">
        <v>2.346591575736243E-2</v>
      </c>
      <c r="F58">
        <v>1.6146312884836009E-2</v>
      </c>
      <c r="G58">
        <v>3.2388287235590577E-2</v>
      </c>
      <c r="H58">
        <v>2.7562676650530259E-2</v>
      </c>
      <c r="I58">
        <v>2.8752790799415239E-2</v>
      </c>
      <c r="J58">
        <v>3.9134094523165172E-3</v>
      </c>
      <c r="L58">
        <v>10</v>
      </c>
      <c r="M58">
        <v>271388</v>
      </c>
      <c r="N58">
        <v>0</v>
      </c>
      <c r="O58">
        <v>0</v>
      </c>
      <c r="P58">
        <v>0</v>
      </c>
      <c r="Q58">
        <v>1.6146312884836009E-2</v>
      </c>
      <c r="R58">
        <v>3.2387489279327449E-2</v>
      </c>
      <c r="S58">
        <v>2.7869291038153179E-2</v>
      </c>
      <c r="T58">
        <v>2.8752790799415239E-2</v>
      </c>
      <c r="U58">
        <v>4.0059245421373889E-3</v>
      </c>
      <c r="X58">
        <v>10</v>
      </c>
      <c r="Y58">
        <v>142275</v>
      </c>
      <c r="Z58">
        <v>0</v>
      </c>
      <c r="AA58">
        <v>0</v>
      </c>
      <c r="AB58">
        <v>0</v>
      </c>
      <c r="AC58">
        <v>1.6146312884836009E-2</v>
      </c>
      <c r="AD58">
        <v>3.2387489279327449E-2</v>
      </c>
      <c r="AE58">
        <v>2.7940109250532748E-2</v>
      </c>
      <c r="AF58">
        <v>2.8752790799415239E-2</v>
      </c>
      <c r="AG58">
        <v>3.945698291388417E-3</v>
      </c>
    </row>
  </sheetData>
  <pageMargins left="0.7" right="0.7" top="0.75" bottom="0.75" header="0.3" footer="0.3"/>
  <headerFooter>
    <oddFooter>&amp;C_x000D_&amp;1#&amp;"Aptos"&amp;12&amp;K008000 Public</oddFooter>
  </headerFooter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2D9E-A849-4E44-AA1E-5CDE350E2677}">
  <dimension ref="A1:AI180"/>
  <sheetViews>
    <sheetView tabSelected="1" topLeftCell="B1" zoomScale="85" zoomScaleNormal="85" workbookViewId="0">
      <selection activeCell="AH116" sqref="AH116"/>
    </sheetView>
  </sheetViews>
  <sheetFormatPr defaultRowHeight="14.5" x14ac:dyDescent="0.35"/>
  <cols>
    <col min="1" max="1" width="15.54296875" bestFit="1" customWidth="1"/>
    <col min="2" max="2" width="42" bestFit="1" customWidth="1"/>
    <col min="3" max="3" width="17.81640625" bestFit="1" customWidth="1"/>
    <col min="4" max="4" width="18.1796875" customWidth="1"/>
    <col min="5" max="5" width="21.453125" bestFit="1" customWidth="1"/>
    <col min="6" max="6" width="21" bestFit="1" customWidth="1"/>
    <col min="7" max="7" width="21.453125" bestFit="1" customWidth="1"/>
    <col min="8" max="8" width="22.54296875" bestFit="1" customWidth="1"/>
    <col min="9" max="9" width="24.1796875" bestFit="1" customWidth="1"/>
    <col min="10" max="10" width="20.453125" bestFit="1" customWidth="1"/>
    <col min="13" max="13" width="10.7265625" bestFit="1" customWidth="1"/>
    <col min="14" max="14" width="14.81640625" customWidth="1"/>
    <col min="15" max="15" width="17.81640625" bestFit="1" customWidth="1"/>
    <col min="16" max="16" width="18.1796875" customWidth="1"/>
    <col min="17" max="17" width="21.453125" bestFit="1" customWidth="1"/>
    <col min="18" max="18" width="21" bestFit="1" customWidth="1"/>
    <col min="19" max="19" width="21.453125" bestFit="1" customWidth="1"/>
    <col min="20" max="20" width="22.54296875" bestFit="1" customWidth="1"/>
    <col min="21" max="21" width="24.1796875" bestFit="1" customWidth="1"/>
    <col min="22" max="22" width="20.81640625" customWidth="1"/>
    <col min="23" max="23" width="17.453125" customWidth="1"/>
    <col min="25" max="25" width="10.453125" bestFit="1" customWidth="1"/>
    <col min="26" max="26" width="14.81640625" customWidth="1"/>
    <col min="27" max="27" width="17.81640625" bestFit="1" customWidth="1"/>
    <col min="28" max="28" width="18.1796875" customWidth="1"/>
    <col min="29" max="29" width="21.453125" bestFit="1" customWidth="1"/>
    <col min="30" max="30" width="21" bestFit="1" customWidth="1"/>
    <col min="31" max="31" width="21.453125" bestFit="1" customWidth="1"/>
    <col min="32" max="32" width="22.54296875" bestFit="1" customWidth="1"/>
    <col min="33" max="33" width="24.1796875" bestFit="1" customWidth="1"/>
    <col min="34" max="34" width="20.453125" bestFit="1" customWidth="1"/>
    <col min="35" max="35" width="20.81640625" customWidth="1"/>
    <col min="36" max="36" width="17.453125" customWidth="1"/>
  </cols>
  <sheetData>
    <row r="1" spans="1:35" x14ac:dyDescent="0.35">
      <c r="A1" t="s">
        <v>49</v>
      </c>
    </row>
    <row r="2" spans="1:35" x14ac:dyDescent="0.35">
      <c r="A2" t="s">
        <v>50</v>
      </c>
      <c r="B2" t="s">
        <v>76</v>
      </c>
      <c r="M2" t="s">
        <v>51</v>
      </c>
      <c r="Y2" t="s">
        <v>52</v>
      </c>
    </row>
    <row r="3" spans="1:35" s="15" customFormat="1" x14ac:dyDescent="0.35">
      <c r="A3" s="16" t="s">
        <v>53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13</v>
      </c>
      <c r="G3" s="16" t="s">
        <v>8</v>
      </c>
      <c r="H3" s="16" t="s">
        <v>9</v>
      </c>
      <c r="I3" s="16" t="s">
        <v>10</v>
      </c>
      <c r="J3" s="16" t="s">
        <v>11</v>
      </c>
      <c r="K3" s="16" t="s">
        <v>54</v>
      </c>
      <c r="M3" s="16" t="s">
        <v>53</v>
      </c>
      <c r="N3" s="16" t="s">
        <v>3</v>
      </c>
      <c r="O3" s="16" t="s">
        <v>4</v>
      </c>
      <c r="P3" s="16" t="s">
        <v>5</v>
      </c>
      <c r="Q3" s="16" t="s">
        <v>6</v>
      </c>
      <c r="R3" s="16" t="s">
        <v>13</v>
      </c>
      <c r="S3" s="16" t="s">
        <v>8</v>
      </c>
      <c r="T3" s="16" t="s">
        <v>9</v>
      </c>
      <c r="U3" s="16" t="s">
        <v>10</v>
      </c>
      <c r="V3" s="16" t="s">
        <v>11</v>
      </c>
      <c r="W3" s="16" t="s">
        <v>54</v>
      </c>
      <c r="Y3" s="16" t="s">
        <v>53</v>
      </c>
      <c r="Z3" s="16" t="s">
        <v>3</v>
      </c>
      <c r="AA3" s="16" t="s">
        <v>4</v>
      </c>
      <c r="AB3" s="16" t="s">
        <v>5</v>
      </c>
      <c r="AC3" s="16" t="s">
        <v>6</v>
      </c>
      <c r="AD3" s="16" t="s">
        <v>13</v>
      </c>
      <c r="AE3" s="16" t="s">
        <v>8</v>
      </c>
      <c r="AF3" s="16" t="s">
        <v>9</v>
      </c>
      <c r="AG3" s="16" t="s">
        <v>10</v>
      </c>
      <c r="AH3" s="16" t="s">
        <v>11</v>
      </c>
      <c r="AI3" s="16" t="s">
        <v>54</v>
      </c>
    </row>
    <row r="4" spans="1:35" x14ac:dyDescent="0.35">
      <c r="A4">
        <v>1</v>
      </c>
      <c r="B4">
        <v>846329</v>
      </c>
      <c r="C4">
        <v>4673</v>
      </c>
      <c r="D4">
        <v>0.5521493414499562</v>
      </c>
      <c r="E4">
        <v>54.828112167077322</v>
      </c>
      <c r="F4">
        <v>0.75268114496690086</v>
      </c>
      <c r="G4">
        <v>0.85815351609045165</v>
      </c>
      <c r="H4">
        <v>0.79155426279496988</v>
      </c>
      <c r="I4">
        <v>0.78476689813919775</v>
      </c>
      <c r="J4">
        <v>2.8539616585014301E-2</v>
      </c>
      <c r="K4">
        <f>Table20[[#This Row],[Target Rate]]/'[1]Data Preprocessing'!$C$20</f>
        <v>5.4828092732042419</v>
      </c>
      <c r="M4">
        <v>1</v>
      </c>
      <c r="N4">
        <v>185125</v>
      </c>
      <c r="O4">
        <v>1811</v>
      </c>
      <c r="P4">
        <v>0.97825793382849435</v>
      </c>
      <c r="Q4">
        <v>60.186108341641742</v>
      </c>
      <c r="R4">
        <v>0.75268114496690086</v>
      </c>
      <c r="S4">
        <v>0.85815351609045165</v>
      </c>
      <c r="T4">
        <v>0.79004970913826222</v>
      </c>
      <c r="U4">
        <v>0.78210796445918163</v>
      </c>
      <c r="V4">
        <v>2.8607319618794869E-2</v>
      </c>
      <c r="W4">
        <f>Table27[[#This Row],[Target Rate]]/'[1]Data Preprocessing'!$F$20</f>
        <v>6.3676041082245058</v>
      </c>
      <c r="Y4">
        <v>1</v>
      </c>
      <c r="Z4">
        <v>94049</v>
      </c>
      <c r="AA4">
        <v>372</v>
      </c>
      <c r="AB4">
        <v>0.39553849589043999</v>
      </c>
      <c r="AC4">
        <v>44.657863145258098</v>
      </c>
      <c r="AD4">
        <v>0.75268155392284064</v>
      </c>
      <c r="AE4">
        <v>0.85737608532597809</v>
      </c>
      <c r="AF4">
        <v>0.79112536143852585</v>
      </c>
      <c r="AG4">
        <v>0.78369244792931603</v>
      </c>
      <c r="AH4">
        <v>2.8878975285978069E-2</v>
      </c>
      <c r="AI4">
        <f>Table28[[#This Row],[Target Rate]]/'[1]Data Preprocessing'!$I$20</f>
        <v>4.8188269768241794</v>
      </c>
    </row>
    <row r="5" spans="1:35" x14ac:dyDescent="0.35">
      <c r="A5">
        <v>2</v>
      </c>
      <c r="B5">
        <v>846329</v>
      </c>
      <c r="C5">
        <v>2053</v>
      </c>
      <c r="D5">
        <v>0.24257705927600259</v>
      </c>
      <c r="E5">
        <v>24.08776252493254</v>
      </c>
      <c r="F5">
        <v>0.69140450921577234</v>
      </c>
      <c r="G5">
        <v>0.75268114496690086</v>
      </c>
      <c r="H5">
        <v>0.72486523963649663</v>
      </c>
      <c r="I5">
        <v>0.7260603751944863</v>
      </c>
      <c r="J5">
        <v>1.7074176630026409E-2</v>
      </c>
      <c r="K5">
        <f>Table20[[#This Row],[Target Rate]]/'[1]Data Preprocessing'!$C$20</f>
        <v>2.4087753986493277</v>
      </c>
      <c r="M5">
        <v>2</v>
      </c>
      <c r="N5">
        <v>209599</v>
      </c>
      <c r="O5">
        <v>774</v>
      </c>
      <c r="P5">
        <v>0.36927657097600658</v>
      </c>
      <c r="Q5">
        <v>25.722831505483551</v>
      </c>
      <c r="R5">
        <v>0.69140460006412474</v>
      </c>
      <c r="S5">
        <v>0.75268074547119013</v>
      </c>
      <c r="T5">
        <v>0.72452965945384362</v>
      </c>
      <c r="U5">
        <v>0.72561826481556924</v>
      </c>
      <c r="V5">
        <v>1.700553293855302E-2</v>
      </c>
      <c r="W5">
        <f>Table27[[#This Row],[Target Rate]]/'[1]Data Preprocessing'!$F$20</f>
        <v>2.4036677128857513</v>
      </c>
      <c r="Y5">
        <v>2</v>
      </c>
      <c r="Z5">
        <v>108497</v>
      </c>
      <c r="AA5">
        <v>247</v>
      </c>
      <c r="AB5">
        <v>0.22765606422297391</v>
      </c>
      <c r="AC5">
        <v>29.651860744297721</v>
      </c>
      <c r="AD5">
        <v>0.69140618163747403</v>
      </c>
      <c r="AE5">
        <v>0.75268062585535589</v>
      </c>
      <c r="AF5">
        <v>0.72369011163475405</v>
      </c>
      <c r="AG5">
        <v>0.72436872740551028</v>
      </c>
      <c r="AH5">
        <v>1.7012366135201039E-2</v>
      </c>
      <c r="AI5">
        <f>Table28[[#This Row],[Target Rate]]/'[1]Data Preprocessing'!$I$20</f>
        <v>2.7735231718612585</v>
      </c>
    </row>
    <row r="6" spans="1:35" x14ac:dyDescent="0.35">
      <c r="A6">
        <v>3</v>
      </c>
      <c r="B6">
        <v>846329</v>
      </c>
      <c r="C6">
        <v>1015</v>
      </c>
      <c r="D6">
        <v>0.1199297200025049</v>
      </c>
      <c r="E6">
        <v>11.90895224686143</v>
      </c>
      <c r="F6">
        <v>0.52958921939893522</v>
      </c>
      <c r="G6">
        <v>0.69140450921577234</v>
      </c>
      <c r="H6">
        <v>0.60964651349966459</v>
      </c>
      <c r="I6">
        <v>0.60878980256306814</v>
      </c>
      <c r="J6">
        <v>4.8928589665632523E-2</v>
      </c>
      <c r="K6">
        <f>Table20[[#This Row],[Target Rate]]/'[1]Data Preprocessing'!$C$20</f>
        <v>1.1908948025470372</v>
      </c>
      <c r="M6">
        <v>3</v>
      </c>
      <c r="N6">
        <v>222374</v>
      </c>
      <c r="O6">
        <v>287</v>
      </c>
      <c r="P6">
        <v>0.12906185075593371</v>
      </c>
      <c r="Q6">
        <v>9.5380525091392485</v>
      </c>
      <c r="R6">
        <v>0.52958921939893522</v>
      </c>
      <c r="S6">
        <v>0.69140448333278115</v>
      </c>
      <c r="T6">
        <v>0.60508059255443181</v>
      </c>
      <c r="U6">
        <v>0.59482257606002054</v>
      </c>
      <c r="V6">
        <v>4.759266116594052E-2</v>
      </c>
      <c r="W6">
        <f>Table27[[#This Row],[Target Rate]]/'[1]Data Preprocessing'!$F$20</f>
        <v>0.84007984261604762</v>
      </c>
      <c r="Y6">
        <v>3</v>
      </c>
      <c r="Z6">
        <v>121788</v>
      </c>
      <c r="AA6">
        <v>138</v>
      </c>
      <c r="AB6">
        <v>0.1133116563208198</v>
      </c>
      <c r="AC6">
        <v>16.566626650660261</v>
      </c>
      <c r="AD6">
        <v>0.52958921939893522</v>
      </c>
      <c r="AE6">
        <v>0.69140206130881765</v>
      </c>
      <c r="AF6">
        <v>0.60645307098278944</v>
      </c>
      <c r="AG6">
        <v>0.59644933417112234</v>
      </c>
      <c r="AH6">
        <v>4.7930951405237648E-2</v>
      </c>
      <c r="AI6">
        <f>Table28[[#This Row],[Target Rate]]/'[1]Data Preprocessing'!$I$20</f>
        <v>1.3804706038489889</v>
      </c>
    </row>
    <row r="7" spans="1:35" x14ac:dyDescent="0.35">
      <c r="A7">
        <v>4</v>
      </c>
      <c r="B7">
        <v>846329</v>
      </c>
      <c r="C7">
        <v>524</v>
      </c>
      <c r="D7">
        <v>6.1914456434790717E-2</v>
      </c>
      <c r="E7">
        <v>6.1480699284289573</v>
      </c>
      <c r="F7">
        <v>0.1440128624692916</v>
      </c>
      <c r="G7">
        <v>0.52958921939893522</v>
      </c>
      <c r="H7">
        <v>0.30326774579752752</v>
      </c>
      <c r="I7">
        <v>0.26594083715811923</v>
      </c>
      <c r="J7">
        <v>0.12851624176473109</v>
      </c>
      <c r="K7">
        <f>Table20[[#This Row],[Target Rate]]/'[1]Data Preprocessing'!$C$20</f>
        <v>0.61480677491098279</v>
      </c>
      <c r="M7">
        <v>4</v>
      </c>
      <c r="N7">
        <v>152745</v>
      </c>
      <c r="O7">
        <v>107</v>
      </c>
      <c r="P7">
        <v>7.0051392844282953E-2</v>
      </c>
      <c r="Q7">
        <v>3.5559986706547022</v>
      </c>
      <c r="R7">
        <v>0.14402859766561071</v>
      </c>
      <c r="S7">
        <v>0.52958711483496201</v>
      </c>
      <c r="T7">
        <v>0.34159600773645998</v>
      </c>
      <c r="U7">
        <v>0.32975983909742768</v>
      </c>
      <c r="V7">
        <v>0.12981761570611239</v>
      </c>
      <c r="W7">
        <f>Table27[[#This Row],[Target Rate]]/'[1]Data Preprocessing'!$F$20</f>
        <v>0.45597333937933271</v>
      </c>
      <c r="Y7">
        <v>4</v>
      </c>
      <c r="Z7">
        <v>91597</v>
      </c>
      <c r="AA7">
        <v>65</v>
      </c>
      <c r="AB7">
        <v>7.0963022806423789E-2</v>
      </c>
      <c r="AC7">
        <v>7.8031212484993988</v>
      </c>
      <c r="AD7">
        <v>0.14402498289262181</v>
      </c>
      <c r="AE7">
        <v>0.52958711483496201</v>
      </c>
      <c r="AF7">
        <v>0.34083733288776691</v>
      </c>
      <c r="AG7">
        <v>0.32078225967443669</v>
      </c>
      <c r="AH7">
        <v>0.13076817398362439</v>
      </c>
      <c r="AI7">
        <f>Table28[[#This Row],[Target Rate]]/'[1]Data Preprocessing'!$I$20</f>
        <v>0.86453918445223432</v>
      </c>
    </row>
    <row r="8" spans="1:35" x14ac:dyDescent="0.35">
      <c r="A8">
        <v>5</v>
      </c>
      <c r="B8">
        <v>846329</v>
      </c>
      <c r="C8">
        <v>107</v>
      </c>
      <c r="D8">
        <v>1.264283747809658E-2</v>
      </c>
      <c r="E8">
        <v>1.2554264930188901</v>
      </c>
      <c r="F8">
        <v>9.1824438902787339E-2</v>
      </c>
      <c r="G8">
        <v>0.1440128624692916</v>
      </c>
      <c r="H8">
        <v>0.1111770814446307</v>
      </c>
      <c r="I8">
        <v>0.10846680178780151</v>
      </c>
      <c r="J8">
        <v>1.385303276403081E-2</v>
      </c>
      <c r="K8">
        <f>Table20[[#This Row],[Target Rate]]/'[1]Data Preprocessing'!$C$20</f>
        <v>0.12554260480052512</v>
      </c>
      <c r="M8">
        <v>5</v>
      </c>
      <c r="N8">
        <v>153236</v>
      </c>
      <c r="O8">
        <v>7</v>
      </c>
      <c r="P8">
        <v>4.5681171526273196E-3</v>
      </c>
      <c r="Q8">
        <v>0.2326354270521768</v>
      </c>
      <c r="R8">
        <v>9.1824438902787339E-2</v>
      </c>
      <c r="S8">
        <v>0.1439623356137642</v>
      </c>
      <c r="T8">
        <v>0.1071920159379825</v>
      </c>
      <c r="U8">
        <v>0.1021164566329526</v>
      </c>
      <c r="V8">
        <v>1.396574934878954E-2</v>
      </c>
      <c r="W8">
        <f>Table27[[#This Row],[Target Rate]]/'[1]Data Preprocessing'!$F$20</f>
        <v>2.9734449925780185E-2</v>
      </c>
      <c r="Y8">
        <v>5</v>
      </c>
      <c r="Z8">
        <v>80953</v>
      </c>
      <c r="AA8">
        <v>4</v>
      </c>
      <c r="AB8">
        <v>4.9411386854100528E-3</v>
      </c>
      <c r="AC8">
        <v>0.48019207683073228</v>
      </c>
      <c r="AD8">
        <v>9.1824438902787339E-2</v>
      </c>
      <c r="AE8">
        <v>0.1439623356137642</v>
      </c>
      <c r="AF8">
        <v>0.10767528393663379</v>
      </c>
      <c r="AG8">
        <v>0.1026874792826788</v>
      </c>
      <c r="AH8">
        <v>1.409754605562258E-2</v>
      </c>
      <c r="AI8">
        <f>Table28[[#This Row],[Target Rate]]/'[1]Data Preprocessing'!$I$20</f>
        <v>6.0197661266525065E-2</v>
      </c>
    </row>
    <row r="9" spans="1:35" x14ac:dyDescent="0.35">
      <c r="A9">
        <v>6</v>
      </c>
      <c r="B9">
        <v>846329</v>
      </c>
      <c r="C9">
        <v>55</v>
      </c>
      <c r="D9">
        <v>6.4986547784608587E-3</v>
      </c>
      <c r="E9">
        <v>0.64531268332746694</v>
      </c>
      <c r="F9">
        <v>7.8055112700150947E-2</v>
      </c>
      <c r="G9">
        <v>9.1824438902787339E-2</v>
      </c>
      <c r="H9">
        <v>8.544113312711378E-2</v>
      </c>
      <c r="I9">
        <v>8.5561212272345297E-2</v>
      </c>
      <c r="J9">
        <v>3.9719362506719386E-3</v>
      </c>
      <c r="K9">
        <f>Table20[[#This Row],[Target Rate]]/'[1]Data Preprocessing'!$C$20</f>
        <v>6.4531245458213857E-2</v>
      </c>
      <c r="M9">
        <v>6</v>
      </c>
      <c r="N9">
        <v>157273</v>
      </c>
      <c r="O9">
        <v>2</v>
      </c>
      <c r="P9">
        <v>1.27167409536284E-3</v>
      </c>
      <c r="Q9">
        <v>6.6467264872050513E-2</v>
      </c>
      <c r="R9">
        <v>7.8055112700150947E-2</v>
      </c>
      <c r="S9">
        <v>9.1813372726849585E-2</v>
      </c>
      <c r="T9">
        <v>8.4348477270070721E-2</v>
      </c>
      <c r="U9">
        <v>8.4050725328180143E-2</v>
      </c>
      <c r="V9">
        <v>4.3000450953083417E-3</v>
      </c>
      <c r="W9">
        <f>Table27[[#This Row],[Target Rate]]/'[1]Data Preprocessing'!$F$20</f>
        <v>8.2774868610211924E-3</v>
      </c>
      <c r="Y9">
        <v>6</v>
      </c>
      <c r="Z9">
        <v>71819</v>
      </c>
      <c r="AA9">
        <v>0</v>
      </c>
      <c r="AB9">
        <v>0</v>
      </c>
      <c r="AC9">
        <v>0</v>
      </c>
      <c r="AD9">
        <v>7.8055112700150947E-2</v>
      </c>
      <c r="AE9">
        <v>9.1813372726849585E-2</v>
      </c>
      <c r="AF9">
        <v>8.4283393861338443E-2</v>
      </c>
      <c r="AG9">
        <v>8.4050725328180143E-2</v>
      </c>
      <c r="AH9">
        <v>4.4687079321100148E-3</v>
      </c>
      <c r="AI9">
        <f>Table28[[#This Row],[Target Rate]]/'[1]Data Preprocessing'!$I$20</f>
        <v>0</v>
      </c>
    </row>
    <row r="10" spans="1:35" x14ac:dyDescent="0.35">
      <c r="A10">
        <v>7</v>
      </c>
      <c r="B10">
        <v>846329</v>
      </c>
      <c r="C10">
        <v>49</v>
      </c>
      <c r="D10">
        <v>5.7897106208105826E-3</v>
      </c>
      <c r="E10">
        <v>0.57491493605537958</v>
      </c>
      <c r="F10">
        <v>6.3654571349656491E-2</v>
      </c>
      <c r="G10">
        <v>7.8055112700150947E-2</v>
      </c>
      <c r="H10">
        <v>6.8182832021536313E-2</v>
      </c>
      <c r="I10">
        <v>6.5714559433262432E-2</v>
      </c>
      <c r="J10">
        <v>4.1411102575046E-3</v>
      </c>
      <c r="K10">
        <f>Table20[[#This Row],[Target Rate]]/'[1]Data Preprocessing'!$C$20</f>
        <v>5.7491473226408699E-2</v>
      </c>
      <c r="M10">
        <v>7</v>
      </c>
      <c r="N10">
        <v>211207</v>
      </c>
      <c r="O10">
        <v>13</v>
      </c>
      <c r="P10">
        <v>6.1550990260739458E-3</v>
      </c>
      <c r="Q10">
        <v>0.43203722166832842</v>
      </c>
      <c r="R10">
        <v>6.3654571349656491E-2</v>
      </c>
      <c r="S10">
        <v>7.803044421453946E-2</v>
      </c>
      <c r="T10">
        <v>6.7542779782835113E-2</v>
      </c>
      <c r="U10">
        <v>6.5714559433262432E-2</v>
      </c>
      <c r="V10">
        <v>3.7963184904625598E-3</v>
      </c>
      <c r="W10">
        <f>Table27[[#This Row],[Target Rate]]/'[1]Data Preprocessing'!$F$20</f>
        <v>4.0064314829087157E-2</v>
      </c>
      <c r="Y10">
        <v>7</v>
      </c>
      <c r="Z10">
        <v>106736</v>
      </c>
      <c r="AA10">
        <v>3</v>
      </c>
      <c r="AB10">
        <v>2.8106730625093689E-3</v>
      </c>
      <c r="AC10">
        <v>0.36014405762304919</v>
      </c>
      <c r="AD10">
        <v>6.3654571349656491E-2</v>
      </c>
      <c r="AE10">
        <v>7.803044421453946E-2</v>
      </c>
      <c r="AF10">
        <v>6.7616476196183828E-2</v>
      </c>
      <c r="AG10">
        <v>6.5714559433262432E-2</v>
      </c>
      <c r="AH10">
        <v>3.860986496591464E-3</v>
      </c>
      <c r="AI10">
        <f>Table28[[#This Row],[Target Rate]]/'[1]Data Preprocessing'!$I$20</f>
        <v>3.4242298328415459E-2</v>
      </c>
    </row>
    <row r="11" spans="1:35" x14ac:dyDescent="0.35">
      <c r="A11">
        <v>8</v>
      </c>
      <c r="B11">
        <v>846328</v>
      </c>
      <c r="C11">
        <v>26</v>
      </c>
      <c r="D11">
        <v>3.0720949797241729E-3</v>
      </c>
      <c r="E11">
        <v>0.30505690484571157</v>
      </c>
      <c r="F11">
        <v>5.7962337981988313E-2</v>
      </c>
      <c r="G11">
        <v>6.3654571349656491E-2</v>
      </c>
      <c r="H11">
        <v>6.0530454735284567E-2</v>
      </c>
      <c r="I11">
        <v>6.0057868887479597E-2</v>
      </c>
      <c r="J11">
        <v>1.720541712319591E-3</v>
      </c>
      <c r="K11">
        <f>Table20[[#This Row],[Target Rate]]/'[1]Data Preprocessing'!$C$20</f>
        <v>3.0505715715903856E-2</v>
      </c>
      <c r="M11">
        <v>8</v>
      </c>
      <c r="N11">
        <v>348843</v>
      </c>
      <c r="O11">
        <v>7</v>
      </c>
      <c r="P11">
        <v>2.006633356552948E-3</v>
      </c>
      <c r="Q11">
        <v>0.2326354270521768</v>
      </c>
      <c r="R11">
        <v>5.7962337981988313E-2</v>
      </c>
      <c r="S11">
        <v>6.3618030127106928E-2</v>
      </c>
      <c r="T11">
        <v>5.9284254216346977E-2</v>
      </c>
      <c r="U11">
        <v>5.7962337981988313E-2</v>
      </c>
      <c r="V11">
        <v>1.7060179601312881E-3</v>
      </c>
      <c r="W11">
        <f>Table27[[#This Row],[Target Rate]]/'[1]Data Preprocessing'!$F$20</f>
        <v>1.3061429264244525E-2</v>
      </c>
      <c r="Y11">
        <v>8</v>
      </c>
      <c r="Z11">
        <v>174566</v>
      </c>
      <c r="AA11">
        <v>2</v>
      </c>
      <c r="AB11">
        <v>1.1456984750753301E-3</v>
      </c>
      <c r="AC11">
        <v>0.24009603841536609</v>
      </c>
      <c r="AD11">
        <v>5.7962337981988313E-2</v>
      </c>
      <c r="AE11">
        <v>6.3618030127106928E-2</v>
      </c>
      <c r="AF11">
        <v>5.924794015047094E-2</v>
      </c>
      <c r="AG11">
        <v>5.7962337981988313E-2</v>
      </c>
      <c r="AH11">
        <v>1.6632340328584889E-3</v>
      </c>
      <c r="AI11">
        <f>Table28[[#This Row],[Target Rate]]/'[1]Data Preprocessing'!$I$20</f>
        <v>1.3957990881698057E-2</v>
      </c>
    </row>
    <row r="12" spans="1:35" x14ac:dyDescent="0.35">
      <c r="A12">
        <v>9</v>
      </c>
      <c r="B12">
        <v>846328</v>
      </c>
      <c r="C12">
        <v>18</v>
      </c>
      <c r="D12">
        <v>2.1268349859628892E-3</v>
      </c>
      <c r="E12">
        <v>0.2111932418162619</v>
      </c>
      <c r="F12">
        <v>5.6815796770434121E-2</v>
      </c>
      <c r="G12">
        <v>5.7962337981988313E-2</v>
      </c>
      <c r="H12">
        <v>5.7673478600792701E-2</v>
      </c>
      <c r="I12">
        <v>5.7962337981988313E-2</v>
      </c>
      <c r="J12">
        <v>4.4013695776301011E-4</v>
      </c>
      <c r="K12">
        <f>Table20[[#This Row],[Target Rate]]/'[1]Data Preprocessing'!$C$20</f>
        <v>2.1119341649471903E-2</v>
      </c>
      <c r="M12">
        <v>9</v>
      </c>
      <c r="N12">
        <v>135459</v>
      </c>
      <c r="O12">
        <v>0</v>
      </c>
      <c r="P12">
        <v>0</v>
      </c>
      <c r="Q12">
        <v>0</v>
      </c>
      <c r="R12">
        <v>5.6815796770434121E-2</v>
      </c>
      <c r="S12">
        <v>5.7871650242531839E-2</v>
      </c>
      <c r="T12">
        <v>5.6953582704479477E-2</v>
      </c>
      <c r="U12">
        <v>5.6815796770434121E-2</v>
      </c>
      <c r="V12">
        <v>2.278137572586163E-4</v>
      </c>
      <c r="W12">
        <f>Table27[[#This Row],[Target Rate]]/'[1]Data Preprocessing'!$F$20</f>
        <v>0</v>
      </c>
      <c r="Y12">
        <v>9</v>
      </c>
      <c r="Z12">
        <v>71912</v>
      </c>
      <c r="AA12">
        <v>0</v>
      </c>
      <c r="AB12">
        <v>0</v>
      </c>
      <c r="AC12">
        <v>0</v>
      </c>
      <c r="AD12">
        <v>5.6815796770434121E-2</v>
      </c>
      <c r="AE12">
        <v>5.7871650242531839E-2</v>
      </c>
      <c r="AF12">
        <v>5.6950330425945363E-2</v>
      </c>
      <c r="AG12">
        <v>5.6815796770434121E-2</v>
      </c>
      <c r="AH12">
        <v>2.2371156914071329E-4</v>
      </c>
      <c r="AI12">
        <f>Table28[[#This Row],[Target Rate]]/'[1]Data Preprocessing'!$I$20</f>
        <v>0</v>
      </c>
    </row>
    <row r="13" spans="1:35" x14ac:dyDescent="0.35">
      <c r="A13">
        <v>10</v>
      </c>
      <c r="B13">
        <v>846328</v>
      </c>
      <c r="C13">
        <v>3</v>
      </c>
      <c r="D13">
        <v>3.544724976604815E-4</v>
      </c>
      <c r="E13">
        <v>3.5198873636043647E-2</v>
      </c>
      <c r="F13">
        <v>3.8115205690269348E-2</v>
      </c>
      <c r="G13">
        <v>5.6815796770434121E-2</v>
      </c>
      <c r="H13">
        <v>5.155907755995625E-2</v>
      </c>
      <c r="I13">
        <v>5.5280123023518361E-2</v>
      </c>
      <c r="J13">
        <v>6.1095521140459731E-3</v>
      </c>
      <c r="K13">
        <f>Table20[[#This Row],[Target Rate]]/'[1]Data Preprocessing'!$C$20</f>
        <v>3.5198902749119833E-3</v>
      </c>
      <c r="M13">
        <v>10</v>
      </c>
      <c r="N13">
        <v>182735</v>
      </c>
      <c r="O13">
        <v>1</v>
      </c>
      <c r="P13">
        <v>5.4724053957917209E-4</v>
      </c>
      <c r="Q13">
        <v>3.3233632436025257E-2</v>
      </c>
      <c r="R13">
        <v>3.8115205690269348E-2</v>
      </c>
      <c r="S13">
        <v>5.6688815282372802E-2</v>
      </c>
      <c r="T13">
        <v>5.0006137286866897E-2</v>
      </c>
      <c r="U13">
        <v>5.302636287994017E-2</v>
      </c>
      <c r="V13">
        <v>6.1273457604755074E-3</v>
      </c>
      <c r="W13">
        <f>Table27[[#This Row],[Target Rate]]/'[1]Data Preprocessing'!$F$20</f>
        <v>3.562057600058518E-3</v>
      </c>
      <c r="Y13">
        <v>10</v>
      </c>
      <c r="Z13">
        <v>92923</v>
      </c>
      <c r="AA13">
        <v>2</v>
      </c>
      <c r="AB13">
        <v>2.1523196625162768E-3</v>
      </c>
      <c r="AC13">
        <v>0.24009603841536609</v>
      </c>
      <c r="AD13">
        <v>3.8115205690269348E-2</v>
      </c>
      <c r="AE13">
        <v>5.6688815282372802E-2</v>
      </c>
      <c r="AF13">
        <v>4.9969546476698212E-2</v>
      </c>
      <c r="AG13">
        <v>5.2763187146402289E-2</v>
      </c>
      <c r="AH13">
        <v>6.1126540543924544E-3</v>
      </c>
      <c r="AI13">
        <f>Table28[[#This Row],[Target Rate]]/'[1]Data Preprocessing'!$I$20</f>
        <v>2.6221609679568048E-2</v>
      </c>
    </row>
    <row r="15" spans="1:35" x14ac:dyDescent="0.35">
      <c r="B15" t="s">
        <v>75</v>
      </c>
      <c r="C15" t="s">
        <v>56</v>
      </c>
      <c r="D15" s="15"/>
    </row>
    <row r="16" spans="1:35" x14ac:dyDescent="0.35">
      <c r="B16" t="s">
        <v>58</v>
      </c>
      <c r="C16">
        <v>0.31640000000000001</v>
      </c>
    </row>
    <row r="17" spans="1:25" x14ac:dyDescent="0.35">
      <c r="B17" t="s">
        <v>57</v>
      </c>
      <c r="C17">
        <v>0.28860000000000002</v>
      </c>
    </row>
    <row r="18" spans="1:25" x14ac:dyDescent="0.35">
      <c r="B18" t="s">
        <v>59</v>
      </c>
      <c r="C18">
        <v>0.1545</v>
      </c>
    </row>
    <row r="19" spans="1:25" x14ac:dyDescent="0.35">
      <c r="B19" t="s">
        <v>60</v>
      </c>
      <c r="C19">
        <v>9.1300000000000006E-2</v>
      </c>
    </row>
    <row r="20" spans="1:25" x14ac:dyDescent="0.35">
      <c r="B20" t="s">
        <v>61</v>
      </c>
      <c r="C20">
        <v>7.1499999999999994E-2</v>
      </c>
    </row>
    <row r="21" spans="1:25" x14ac:dyDescent="0.35">
      <c r="B21" t="s">
        <v>63</v>
      </c>
      <c r="C21">
        <v>2.8199999999999999E-2</v>
      </c>
    </row>
    <row r="22" spans="1:25" x14ac:dyDescent="0.35">
      <c r="B22" t="s">
        <v>62</v>
      </c>
      <c r="C22">
        <v>1.4E-2</v>
      </c>
    </row>
    <row r="23" spans="1:25" x14ac:dyDescent="0.35">
      <c r="B23" t="s">
        <v>69</v>
      </c>
      <c r="C23">
        <v>1.21E-2</v>
      </c>
    </row>
    <row r="24" spans="1:25" x14ac:dyDescent="0.35">
      <c r="B24" t="s">
        <v>65</v>
      </c>
      <c r="C24">
        <v>8.3999999999999995E-3</v>
      </c>
    </row>
    <row r="25" spans="1:25" x14ac:dyDescent="0.35">
      <c r="B25" t="s">
        <v>64</v>
      </c>
      <c r="C25">
        <v>8.3000000000000001E-3</v>
      </c>
    </row>
    <row r="26" spans="1:25" x14ac:dyDescent="0.35">
      <c r="B26" t="s">
        <v>66</v>
      </c>
      <c r="C26">
        <v>6.7000000000000002E-3</v>
      </c>
    </row>
    <row r="27" spans="1:25" x14ac:dyDescent="0.35">
      <c r="B27" t="s">
        <v>67</v>
      </c>
      <c r="C27">
        <v>0</v>
      </c>
    </row>
    <row r="28" spans="1:25" x14ac:dyDescent="0.35">
      <c r="B28" t="s">
        <v>70</v>
      </c>
      <c r="C28">
        <v>0</v>
      </c>
    </row>
    <row r="29" spans="1:25" x14ac:dyDescent="0.35">
      <c r="B29" t="s">
        <v>71</v>
      </c>
      <c r="C29">
        <v>0</v>
      </c>
    </row>
    <row r="31" spans="1:25" x14ac:dyDescent="0.35">
      <c r="A31" t="s">
        <v>72</v>
      </c>
    </row>
    <row r="32" spans="1:25" x14ac:dyDescent="0.35">
      <c r="A32" t="s">
        <v>50</v>
      </c>
      <c r="M32" t="s">
        <v>51</v>
      </c>
      <c r="Y32" t="s">
        <v>52</v>
      </c>
    </row>
    <row r="33" spans="1:35" s="15" customFormat="1" x14ac:dyDescent="0.35">
      <c r="A33" s="17" t="s">
        <v>53</v>
      </c>
      <c r="B33" s="17" t="s">
        <v>3</v>
      </c>
      <c r="C33" s="17" t="s">
        <v>4</v>
      </c>
      <c r="D33" s="17" t="s">
        <v>5</v>
      </c>
      <c r="E33" s="17" t="s">
        <v>6</v>
      </c>
      <c r="F33" s="17" t="s">
        <v>13</v>
      </c>
      <c r="G33" s="17" t="s">
        <v>8</v>
      </c>
      <c r="H33" s="17" t="s">
        <v>9</v>
      </c>
      <c r="I33" s="17" t="s">
        <v>10</v>
      </c>
      <c r="J33" s="17" t="s">
        <v>11</v>
      </c>
      <c r="K33" s="17" t="s">
        <v>54</v>
      </c>
      <c r="M33" s="17" t="s">
        <v>53</v>
      </c>
      <c r="N33" s="17" t="s">
        <v>3</v>
      </c>
      <c r="O33" s="17" t="s">
        <v>4</v>
      </c>
      <c r="P33" s="17" t="s">
        <v>5</v>
      </c>
      <c r="Q33" s="17" t="s">
        <v>6</v>
      </c>
      <c r="R33" s="17" t="s">
        <v>13</v>
      </c>
      <c r="S33" s="17" t="s">
        <v>8</v>
      </c>
      <c r="T33" s="17" t="s">
        <v>9</v>
      </c>
      <c r="U33" s="17" t="s">
        <v>10</v>
      </c>
      <c r="V33" s="17" t="s">
        <v>11</v>
      </c>
      <c r="W33" s="17" t="s">
        <v>54</v>
      </c>
      <c r="Y33" s="17" t="s">
        <v>53</v>
      </c>
      <c r="Z33" s="17" t="s">
        <v>3</v>
      </c>
      <c r="AA33" s="17" t="s">
        <v>4</v>
      </c>
      <c r="AB33" s="17" t="s">
        <v>5</v>
      </c>
      <c r="AC33" s="17" t="s">
        <v>6</v>
      </c>
      <c r="AD33" s="17" t="s">
        <v>13</v>
      </c>
      <c r="AE33" s="17" t="s">
        <v>8</v>
      </c>
      <c r="AF33" s="17" t="s">
        <v>9</v>
      </c>
      <c r="AG33" s="17" t="s">
        <v>10</v>
      </c>
      <c r="AH33" s="17" t="s">
        <v>11</v>
      </c>
      <c r="AI33" s="17" t="s">
        <v>54</v>
      </c>
    </row>
    <row r="34" spans="1:35" x14ac:dyDescent="0.35">
      <c r="A34">
        <v>1</v>
      </c>
      <c r="B34">
        <v>740165</v>
      </c>
      <c r="C34">
        <v>4060</v>
      </c>
      <c r="D34">
        <v>0.54852634209939677</v>
      </c>
      <c r="E34">
        <v>57.126776417616433</v>
      </c>
      <c r="F34">
        <v>0.75268114496690086</v>
      </c>
      <c r="G34">
        <v>0.85815351609045165</v>
      </c>
      <c r="H34">
        <v>0.79312953491690841</v>
      </c>
      <c r="I34">
        <v>0.78628679544648339</v>
      </c>
      <c r="J34">
        <v>2.9139081660435561E-2</v>
      </c>
      <c r="K34">
        <f>Table50[[#This Row],[Target Rate]]/Table50[[#Totals],[Target Rate]]</f>
        <v>3.8477899577248018</v>
      </c>
      <c r="M34">
        <v>1</v>
      </c>
      <c r="N34">
        <v>176525</v>
      </c>
      <c r="O34">
        <v>1745</v>
      </c>
      <c r="P34">
        <v>0.98852853703441435</v>
      </c>
      <c r="Q34">
        <v>62.276945039257669</v>
      </c>
      <c r="R34">
        <v>0.75268114496690086</v>
      </c>
      <c r="S34">
        <v>0.85815351609045165</v>
      </c>
      <c r="T34">
        <v>0.79041730949107392</v>
      </c>
      <c r="U34">
        <v>0.7825373501469054</v>
      </c>
      <c r="V34">
        <v>2.8640423260869359E-2</v>
      </c>
      <c r="W34">
        <f>Table51[[#This Row],[Target Rate]]/Table51[[#Totals],[Target Rate]]</f>
        <v>4.274059417570613</v>
      </c>
      <c r="Y34">
        <v>1</v>
      </c>
      <c r="Z34">
        <v>89807</v>
      </c>
      <c r="AA34">
        <v>337</v>
      </c>
      <c r="AB34">
        <v>0.37524914538955761</v>
      </c>
      <c r="AC34">
        <v>45.54054054054054</v>
      </c>
      <c r="AD34">
        <v>0.75268155392284064</v>
      </c>
      <c r="AE34">
        <v>0.85737608532597809</v>
      </c>
      <c r="AF34">
        <v>0.79151173782937911</v>
      </c>
      <c r="AG34">
        <v>0.78409955254610475</v>
      </c>
      <c r="AH34">
        <v>2.8927059147960898E-2</v>
      </c>
      <c r="AI34">
        <f>Table52[[#This Row],[Target Rate]]/Table52[[#Totals],[Target Rate]]</f>
        <v>3.2476850055930755</v>
      </c>
    </row>
    <row r="35" spans="1:35" x14ac:dyDescent="0.35">
      <c r="A35">
        <v>2</v>
      </c>
      <c r="B35">
        <v>729621</v>
      </c>
      <c r="C35">
        <v>1684</v>
      </c>
      <c r="D35">
        <v>0.23080476027965199</v>
      </c>
      <c r="E35">
        <v>23.694948642183761</v>
      </c>
      <c r="F35">
        <v>0.69140450921577234</v>
      </c>
      <c r="G35">
        <v>0.75268088663177857</v>
      </c>
      <c r="H35">
        <v>0.7247617719358741</v>
      </c>
      <c r="I35">
        <v>0.72597508266360655</v>
      </c>
      <c r="J35">
        <v>1.7108716214590289E-2</v>
      </c>
      <c r="K35">
        <f>Table50[[#This Row],[Target Rate]]/Table50[[#Totals],[Target Rate]]</f>
        <v>1.6190439193860948</v>
      </c>
      <c r="M35">
        <v>2</v>
      </c>
      <c r="N35">
        <v>194284</v>
      </c>
      <c r="O35">
        <v>677</v>
      </c>
      <c r="P35">
        <v>0.34845895699079699</v>
      </c>
      <c r="Q35">
        <v>24.16131334760885</v>
      </c>
      <c r="R35">
        <v>0.69140460006412474</v>
      </c>
      <c r="S35">
        <v>0.75268074547119013</v>
      </c>
      <c r="T35">
        <v>0.7245172788449078</v>
      </c>
      <c r="U35">
        <v>0.72557043328076942</v>
      </c>
      <c r="V35">
        <v>1.7024192404151241E-2</v>
      </c>
      <c r="W35">
        <f>Table51[[#This Row],[Target Rate]]/Table51[[#Totals],[Target Rate]]</f>
        <v>1.5066173923833821</v>
      </c>
      <c r="Y35">
        <v>2</v>
      </c>
      <c r="Z35">
        <v>100917</v>
      </c>
      <c r="AA35">
        <v>211</v>
      </c>
      <c r="AB35">
        <v>0.20908271153522201</v>
      </c>
      <c r="AC35">
        <v>28.513513513513509</v>
      </c>
      <c r="AD35">
        <v>0.69140618163747403</v>
      </c>
      <c r="AE35">
        <v>0.75268062585535589</v>
      </c>
      <c r="AF35">
        <v>0.72373728925952252</v>
      </c>
      <c r="AG35">
        <v>0.72454467683954149</v>
      </c>
      <c r="AH35">
        <v>1.7049680418829899E-2</v>
      </c>
      <c r="AI35">
        <f>Table52[[#This Row],[Target Rate]]/Table52[[#Totals],[Target Rate]]</f>
        <v>1.8095571849384389</v>
      </c>
    </row>
    <row r="36" spans="1:35" x14ac:dyDescent="0.35">
      <c r="A36">
        <v>3</v>
      </c>
      <c r="B36">
        <v>805690</v>
      </c>
      <c r="C36">
        <v>945</v>
      </c>
      <c r="D36">
        <v>0.1172907694026238</v>
      </c>
      <c r="E36">
        <v>13.29674968341072</v>
      </c>
      <c r="F36">
        <v>0.52959782323648563</v>
      </c>
      <c r="G36">
        <v>0.69140448333278115</v>
      </c>
      <c r="H36">
        <v>0.61143622173636403</v>
      </c>
      <c r="I36">
        <v>0.61197622703752563</v>
      </c>
      <c r="J36">
        <v>4.817589631368932E-2</v>
      </c>
      <c r="K36">
        <f>Table50[[#This Row],[Target Rate]]/Table50[[#Totals],[Target Rate]]</f>
        <v>0.82276858922383489</v>
      </c>
      <c r="M36">
        <v>3</v>
      </c>
      <c r="N36">
        <v>219580</v>
      </c>
      <c r="O36">
        <v>282</v>
      </c>
      <c r="P36">
        <v>0.1284269969942618</v>
      </c>
      <c r="Q36">
        <v>10.06423982869379</v>
      </c>
      <c r="R36">
        <v>0.52959782323648563</v>
      </c>
      <c r="S36">
        <v>0.69140448333278115</v>
      </c>
      <c r="T36">
        <v>0.60533866151454863</v>
      </c>
      <c r="U36">
        <v>0.59530080325887624</v>
      </c>
      <c r="V36">
        <v>4.7359590722706707E-2</v>
      </c>
      <c r="W36">
        <f>Table51[[#This Row],[Target Rate]]/Table51[[#Totals],[Target Rate]]</f>
        <v>0.5552744259870851</v>
      </c>
      <c r="Y36">
        <v>3</v>
      </c>
      <c r="Z36">
        <v>120158</v>
      </c>
      <c r="AA36">
        <v>131</v>
      </c>
      <c r="AB36">
        <v>0.109023119559247</v>
      </c>
      <c r="AC36">
        <v>17.702702702702702</v>
      </c>
      <c r="AD36">
        <v>0.52959782323648563</v>
      </c>
      <c r="AE36">
        <v>0.69140206130881765</v>
      </c>
      <c r="AF36">
        <v>0.6069070236518006</v>
      </c>
      <c r="AG36">
        <v>0.59722235813818259</v>
      </c>
      <c r="AH36">
        <v>4.7711771707590847E-2</v>
      </c>
      <c r="AI36">
        <f>Table52[[#This Row],[Target Rate]]/Table52[[#Totals],[Target Rate]]</f>
        <v>0.94356710736269334</v>
      </c>
    </row>
    <row r="37" spans="1:35" x14ac:dyDescent="0.35">
      <c r="A37">
        <v>4</v>
      </c>
      <c r="B37">
        <v>574134</v>
      </c>
      <c r="C37">
        <v>326</v>
      </c>
      <c r="D37">
        <v>5.6781169552752489E-2</v>
      </c>
      <c r="E37">
        <v>4.5870268749120582</v>
      </c>
      <c r="F37">
        <v>0.1440128624692916</v>
      </c>
      <c r="G37">
        <v>0.52958711483496201</v>
      </c>
      <c r="H37">
        <v>0.30547046382919613</v>
      </c>
      <c r="I37">
        <v>0.27367397286900419</v>
      </c>
      <c r="J37">
        <v>0.12760438091396231</v>
      </c>
      <c r="K37">
        <f>Table50[[#This Row],[Target Rate]]/Table50[[#Totals],[Target Rate]]</f>
        <v>0.39830724110121196</v>
      </c>
      <c r="M37">
        <v>4</v>
      </c>
      <c r="N37">
        <v>129550</v>
      </c>
      <c r="O37">
        <v>87</v>
      </c>
      <c r="P37">
        <v>6.7155538402161319E-2</v>
      </c>
      <c r="Q37">
        <v>3.10492505353319</v>
      </c>
      <c r="R37">
        <v>0.14402859766561071</v>
      </c>
      <c r="S37">
        <v>0.52958711483496201</v>
      </c>
      <c r="T37">
        <v>0.3417208686854607</v>
      </c>
      <c r="U37">
        <v>0.33018638115833382</v>
      </c>
      <c r="V37">
        <v>0.12685712265523991</v>
      </c>
      <c r="W37">
        <f>Table51[[#This Row],[Target Rate]]/Table51[[#Totals],[Target Rate]]</f>
        <v>0.2903575876634405</v>
      </c>
      <c r="Y37">
        <v>4</v>
      </c>
      <c r="Z37">
        <v>79235</v>
      </c>
      <c r="AA37">
        <v>56</v>
      </c>
      <c r="AB37">
        <v>7.0675837697986993E-2</v>
      </c>
      <c r="AC37">
        <v>7.5675675675675684</v>
      </c>
      <c r="AD37">
        <v>0.14402498289262181</v>
      </c>
      <c r="AE37">
        <v>0.52958711483496201</v>
      </c>
      <c r="AF37">
        <v>0.33938367451996321</v>
      </c>
      <c r="AG37">
        <v>0.31884486560798342</v>
      </c>
      <c r="AH37">
        <v>0.12867884448919151</v>
      </c>
      <c r="AI37">
        <f>Table52[[#This Row],[Target Rate]]/Table52[[#Totals],[Target Rate]]</f>
        <v>0.6116812287772091</v>
      </c>
    </row>
    <row r="38" spans="1:35" x14ac:dyDescent="0.35">
      <c r="A38">
        <v>5</v>
      </c>
      <c r="B38">
        <v>433180</v>
      </c>
      <c r="C38">
        <v>47</v>
      </c>
      <c r="D38">
        <v>1.084999307447251E-2</v>
      </c>
      <c r="E38">
        <v>0.66131982552413116</v>
      </c>
      <c r="F38">
        <v>9.1841118384672224E-2</v>
      </c>
      <c r="G38">
        <v>0.14400840885966759</v>
      </c>
      <c r="H38">
        <v>0.11268533534151021</v>
      </c>
      <c r="I38">
        <v>0.1105497040243819</v>
      </c>
      <c r="J38">
        <v>1.418606527766492E-2</v>
      </c>
      <c r="K38">
        <f>Table50[[#This Row],[Target Rate]]/Table50[[#Totals],[Target Rate]]</f>
        <v>7.611028165676291E-2</v>
      </c>
      <c r="M38">
        <v>5</v>
      </c>
      <c r="N38">
        <v>71113</v>
      </c>
      <c r="O38">
        <v>0</v>
      </c>
      <c r="P38">
        <v>0</v>
      </c>
      <c r="Q38">
        <v>0</v>
      </c>
      <c r="R38">
        <v>9.1841118384672224E-2</v>
      </c>
      <c r="S38">
        <v>0.1439623356137642</v>
      </c>
      <c r="T38">
        <v>0.11070231314446349</v>
      </c>
      <c r="U38">
        <v>0.1063660230460452</v>
      </c>
      <c r="V38">
        <v>1.4372338082538971E-2</v>
      </c>
      <c r="W38">
        <f>Table51[[#This Row],[Target Rate]]/Table51[[#Totals],[Target Rate]]</f>
        <v>0</v>
      </c>
      <c r="Y38">
        <v>5</v>
      </c>
      <c r="Z38">
        <v>39455</v>
      </c>
      <c r="AA38">
        <v>3</v>
      </c>
      <c r="AB38">
        <v>7.603599036877455E-3</v>
      </c>
      <c r="AC38">
        <v>0.40540540540540537</v>
      </c>
      <c r="AD38">
        <v>9.1841118384672224E-2</v>
      </c>
      <c r="AE38">
        <v>0.1439623356137642</v>
      </c>
      <c r="AF38">
        <v>0.1121378491219332</v>
      </c>
      <c r="AG38">
        <v>0.1082891365247155</v>
      </c>
      <c r="AH38">
        <v>1.448019443700453E-2</v>
      </c>
      <c r="AI38">
        <f>Table52[[#This Row],[Target Rate]]/Table52[[#Totals],[Target Rate]]</f>
        <v>6.5807197388745992E-2</v>
      </c>
    </row>
    <row r="39" spans="1:35" x14ac:dyDescent="0.35">
      <c r="A39">
        <v>6</v>
      </c>
      <c r="B39">
        <v>553389</v>
      </c>
      <c r="C39">
        <v>24</v>
      </c>
      <c r="D39">
        <v>4.3369130936827443E-3</v>
      </c>
      <c r="E39">
        <v>0.33769523005487551</v>
      </c>
      <c r="F39">
        <v>7.8055112700150947E-2</v>
      </c>
      <c r="G39">
        <v>9.1813372726849585E-2</v>
      </c>
      <c r="H39">
        <v>8.4417332665656181E-2</v>
      </c>
      <c r="I39">
        <v>8.4548700165744783E-2</v>
      </c>
      <c r="J39">
        <v>4.3306405384815607E-3</v>
      </c>
      <c r="K39">
        <f>Table50[[#This Row],[Target Rate]]/Table50[[#Totals],[Target Rate]]</f>
        <v>3.0422478135742424E-2</v>
      </c>
      <c r="M39">
        <v>6</v>
      </c>
      <c r="N39">
        <v>124887</v>
      </c>
      <c r="O39">
        <v>2</v>
      </c>
      <c r="P39">
        <v>1.601447708728691E-3</v>
      </c>
      <c r="Q39">
        <v>7.1377587437544618E-2</v>
      </c>
      <c r="R39">
        <v>7.8055112700150947E-2</v>
      </c>
      <c r="S39">
        <v>9.1813372726849585E-2</v>
      </c>
      <c r="T39">
        <v>8.3916650197087023E-2</v>
      </c>
      <c r="U39">
        <v>8.3760116855972733E-2</v>
      </c>
      <c r="V39">
        <v>4.3022572346651227E-3</v>
      </c>
      <c r="W39">
        <f>Table51[[#This Row],[Target Rate]]/Table51[[#Totals],[Target Rate]]</f>
        <v>6.9241123597430882E-3</v>
      </c>
      <c r="Y39">
        <v>6</v>
      </c>
      <c r="Z39">
        <v>60412</v>
      </c>
      <c r="AA39">
        <v>0</v>
      </c>
      <c r="AB39">
        <v>0</v>
      </c>
      <c r="AC39">
        <v>0</v>
      </c>
      <c r="AD39">
        <v>7.8055112700150947E-2</v>
      </c>
      <c r="AE39">
        <v>9.1813372726849585E-2</v>
      </c>
      <c r="AF39">
        <v>8.3776831597256754E-2</v>
      </c>
      <c r="AG39">
        <v>8.3511053544297706E-2</v>
      </c>
      <c r="AH39">
        <v>4.3166271926546214E-3</v>
      </c>
      <c r="AI39">
        <f>Table52[[#This Row],[Target Rate]]/Table52[[#Totals],[Target Rate]]</f>
        <v>0</v>
      </c>
    </row>
    <row r="40" spans="1:35" x14ac:dyDescent="0.35">
      <c r="A40">
        <v>7</v>
      </c>
      <c r="B40">
        <v>258200</v>
      </c>
      <c r="C40">
        <v>11</v>
      </c>
      <c r="D40">
        <v>4.2602633617350892E-3</v>
      </c>
      <c r="E40">
        <v>0.1547769804418179</v>
      </c>
      <c r="F40">
        <v>6.3712513051196712E-2</v>
      </c>
      <c r="G40">
        <v>7.803044421453946E-2</v>
      </c>
      <c r="H40">
        <v>7.0812961486915557E-2</v>
      </c>
      <c r="I40">
        <v>7.0489585341627761E-2</v>
      </c>
      <c r="J40">
        <v>3.8885363550510079E-3</v>
      </c>
      <c r="K40">
        <f>Table50[[#This Row],[Target Rate]]/Table50[[#Totals],[Target Rate]]</f>
        <v>2.9884797360518977E-2</v>
      </c>
      <c r="M40">
        <v>7</v>
      </c>
      <c r="N40">
        <v>68919</v>
      </c>
      <c r="O40">
        <v>8</v>
      </c>
      <c r="P40">
        <v>1.160782948098492E-2</v>
      </c>
      <c r="Q40">
        <v>0.28551034975017853</v>
      </c>
      <c r="R40">
        <v>6.3712513051196712E-2</v>
      </c>
      <c r="S40">
        <v>7.803044421453946E-2</v>
      </c>
      <c r="T40">
        <v>7.1287789687881395E-2</v>
      </c>
      <c r="U40">
        <v>7.0489585341627761E-2</v>
      </c>
      <c r="V40">
        <v>3.8335140077161798E-3</v>
      </c>
      <c r="W40">
        <f>Table51[[#This Row],[Target Rate]]/Table51[[#Totals],[Target Rate]]</f>
        <v>5.0188285974621487E-2</v>
      </c>
      <c r="Y40">
        <v>7</v>
      </c>
      <c r="Z40">
        <v>36302</v>
      </c>
      <c r="AA40">
        <v>0</v>
      </c>
      <c r="AB40">
        <v>0</v>
      </c>
      <c r="AC40">
        <v>0</v>
      </c>
      <c r="AD40">
        <v>6.3725326644494609E-2</v>
      </c>
      <c r="AE40">
        <v>7.803044421453946E-2</v>
      </c>
      <c r="AF40">
        <v>7.1286226365461072E-2</v>
      </c>
      <c r="AG40">
        <v>7.0489585341627761E-2</v>
      </c>
      <c r="AH40">
        <v>3.8124988706708311E-3</v>
      </c>
      <c r="AI40">
        <f>Table52[[#This Row],[Target Rate]]/Table52[[#Totals],[Target Rate]]</f>
        <v>0</v>
      </c>
    </row>
    <row r="41" spans="1:35" x14ac:dyDescent="0.35">
      <c r="A41">
        <v>8</v>
      </c>
      <c r="B41">
        <v>387328</v>
      </c>
      <c r="C41">
        <v>7</v>
      </c>
      <c r="D41">
        <v>1.807253800396563E-3</v>
      </c>
      <c r="E41">
        <v>9.8494442099338678E-2</v>
      </c>
      <c r="F41">
        <v>5.8181984527349268E-2</v>
      </c>
      <c r="G41">
        <v>6.3519964098701726E-2</v>
      </c>
      <c r="H41">
        <v>6.05554548054546E-2</v>
      </c>
      <c r="I41">
        <v>6.0057868887479597E-2</v>
      </c>
      <c r="J41">
        <v>9.8224876828777847E-4</v>
      </c>
      <c r="K41">
        <f>Table50[[#This Row],[Target Rate]]/Table50[[#Totals],[Target Rate]]</f>
        <v>1.2677482356837803E-2</v>
      </c>
      <c r="M41">
        <v>8</v>
      </c>
      <c r="N41">
        <v>91280</v>
      </c>
      <c r="O41">
        <v>0</v>
      </c>
      <c r="P41">
        <v>0</v>
      </c>
      <c r="Q41">
        <v>0</v>
      </c>
      <c r="R41">
        <v>5.8181984527349268E-2</v>
      </c>
      <c r="S41">
        <v>6.3519964098701726E-2</v>
      </c>
      <c r="T41">
        <v>6.0416471160382047E-2</v>
      </c>
      <c r="U41">
        <v>6.0057868887479597E-2</v>
      </c>
      <c r="V41">
        <v>8.7954395199750057E-4</v>
      </c>
      <c r="W41">
        <f>Table51[[#This Row],[Target Rate]]/Table51[[#Totals],[Target Rate]]</f>
        <v>0</v>
      </c>
      <c r="Y41">
        <v>8</v>
      </c>
      <c r="Z41">
        <v>45613</v>
      </c>
      <c r="AA41">
        <v>0</v>
      </c>
      <c r="AB41">
        <v>0</v>
      </c>
      <c r="AC41">
        <v>0</v>
      </c>
      <c r="AD41">
        <v>5.8181984527349268E-2</v>
      </c>
      <c r="AE41">
        <v>6.3519964098701726E-2</v>
      </c>
      <c r="AF41">
        <v>6.0366852720896619E-2</v>
      </c>
      <c r="AG41">
        <v>6.0057868887479597E-2</v>
      </c>
      <c r="AH41">
        <v>8.2207671763787646E-4</v>
      </c>
      <c r="AI41">
        <f>Table52[[#This Row],[Target Rate]]/Table52[[#Totals],[Target Rate]]</f>
        <v>0</v>
      </c>
    </row>
    <row r="42" spans="1:35" x14ac:dyDescent="0.35">
      <c r="A42">
        <v>9</v>
      </c>
      <c r="B42">
        <v>36086</v>
      </c>
      <c r="C42">
        <v>0</v>
      </c>
      <c r="D42">
        <v>0</v>
      </c>
      <c r="E42">
        <v>0</v>
      </c>
      <c r="F42">
        <v>5.6943800912247433E-2</v>
      </c>
      <c r="G42">
        <v>5.7871650242531839E-2</v>
      </c>
      <c r="H42">
        <v>5.7437875682410752E-2</v>
      </c>
      <c r="I42">
        <v>5.7219125991135787E-2</v>
      </c>
      <c r="J42">
        <v>2.7081130952247751E-4</v>
      </c>
      <c r="K42">
        <f>Table50[[#This Row],[Target Rate]]/Table50[[#Totals],[Target Rate]]</f>
        <v>0</v>
      </c>
      <c r="M42">
        <v>9</v>
      </c>
      <c r="N42">
        <v>8043</v>
      </c>
      <c r="O42">
        <v>0</v>
      </c>
      <c r="P42">
        <v>0</v>
      </c>
      <c r="Q42">
        <v>0</v>
      </c>
      <c r="R42">
        <v>5.6943800912247433E-2</v>
      </c>
      <c r="S42">
        <v>5.7871650242531839E-2</v>
      </c>
      <c r="T42">
        <v>5.7596094881749778E-2</v>
      </c>
      <c r="U42">
        <v>5.7782308240058651E-2</v>
      </c>
      <c r="V42">
        <v>2.7236898165369279E-4</v>
      </c>
      <c r="W42">
        <f>Table51[[#This Row],[Target Rate]]/Table51[[#Totals],[Target Rate]]</f>
        <v>0</v>
      </c>
      <c r="Y42">
        <v>9</v>
      </c>
      <c r="Z42">
        <v>3999</v>
      </c>
      <c r="AA42">
        <v>0</v>
      </c>
      <c r="AB42">
        <v>0</v>
      </c>
      <c r="AC42">
        <v>0</v>
      </c>
      <c r="AD42">
        <v>5.6943800912247433E-2</v>
      </c>
      <c r="AE42">
        <v>5.7871650242531839E-2</v>
      </c>
      <c r="AF42">
        <v>5.7589967441337153E-2</v>
      </c>
      <c r="AG42">
        <v>5.7782308240058651E-2</v>
      </c>
      <c r="AH42">
        <v>2.7877438791700171E-4</v>
      </c>
      <c r="AI42">
        <f>Table52[[#This Row],[Target Rate]]/Table52[[#Totals],[Target Rate]]</f>
        <v>0</v>
      </c>
    </row>
    <row r="43" spans="1:35" x14ac:dyDescent="0.35">
      <c r="A43">
        <v>10</v>
      </c>
      <c r="B43">
        <v>467609</v>
      </c>
      <c r="C43">
        <v>3</v>
      </c>
      <c r="D43">
        <v>6.4156164658935142E-4</v>
      </c>
      <c r="E43">
        <v>4.2211903756859431E-2</v>
      </c>
      <c r="F43">
        <v>3.8115205690269348E-2</v>
      </c>
      <c r="G43">
        <v>5.6688815282372802E-2</v>
      </c>
      <c r="H43">
        <v>5.1938931047358347E-2</v>
      </c>
      <c r="I43">
        <v>5.5280123023518361E-2</v>
      </c>
      <c r="J43">
        <v>6.0713370901503841E-3</v>
      </c>
      <c r="K43">
        <f>Table50[[#This Row],[Target Rate]]/Table50[[#Totals],[Target Rate]]</f>
        <v>4.5004118700293309E-3</v>
      </c>
      <c r="M43">
        <v>10</v>
      </c>
      <c r="N43">
        <v>127308</v>
      </c>
      <c r="O43">
        <v>1</v>
      </c>
      <c r="P43">
        <v>7.8549659094479538E-4</v>
      </c>
      <c r="Q43">
        <v>3.5688793718772309E-2</v>
      </c>
      <c r="R43">
        <v>3.8115205690269348E-2</v>
      </c>
      <c r="S43">
        <v>5.6688815282372802E-2</v>
      </c>
      <c r="T43">
        <v>5.1918551318883663E-2</v>
      </c>
      <c r="U43">
        <v>5.5280123023518361E-2</v>
      </c>
      <c r="V43">
        <v>6.0560761124001192E-3</v>
      </c>
      <c r="W43">
        <f>Table51[[#This Row],[Target Rate]]/Table51[[#Totals],[Target Rate]]</f>
        <v>3.3962186990261216E-3</v>
      </c>
      <c r="Y43">
        <v>10</v>
      </c>
      <c r="Z43">
        <v>64553</v>
      </c>
      <c r="AA43">
        <v>2</v>
      </c>
      <c r="AB43">
        <v>3.0982293619196632E-3</v>
      </c>
      <c r="AC43">
        <v>0.27027027027027029</v>
      </c>
      <c r="AD43">
        <v>3.8115205690269348E-2</v>
      </c>
      <c r="AE43">
        <v>5.6688815282372802E-2</v>
      </c>
      <c r="AF43">
        <v>5.1905251087819453E-2</v>
      </c>
      <c r="AG43">
        <v>5.5280123023518361E-2</v>
      </c>
      <c r="AH43">
        <v>6.036149305858658E-3</v>
      </c>
      <c r="AI43">
        <f>Table52[[#This Row],[Target Rate]]/Table52[[#Totals],[Target Rate]]</f>
        <v>2.6814379636092033E-2</v>
      </c>
    </row>
    <row r="44" spans="1:35" x14ac:dyDescent="0.35">
      <c r="B44">
        <f>SUM(Table50[Counts])</f>
        <v>4985402</v>
      </c>
      <c r="C44">
        <f>SUM(Table50[Positive Target])</f>
        <v>7107</v>
      </c>
      <c r="D44">
        <f>Table50[[#Totals],[Positive Target]]/Table50[[#Totals],[Counts]]*100</f>
        <v>0.14255620710225575</v>
      </c>
      <c r="N44">
        <f>SUM(Table51[Counts])</f>
        <v>1211489</v>
      </c>
      <c r="O44">
        <f>SUM(Table51[Positive Target])</f>
        <v>2802</v>
      </c>
      <c r="P44">
        <f>Table51[[#Totals],[Positive Target]]/Table51[[#Totals],[Counts]]*100</f>
        <v>0.23128563280392969</v>
      </c>
      <c r="Z44">
        <f>SUM(Table52[Counts])</f>
        <v>640451</v>
      </c>
      <c r="AA44">
        <f>SUM(Table52[Positive Target])</f>
        <v>740</v>
      </c>
      <c r="AB44">
        <f>Table52[[#Totals],[Positive Target]]/Table52[[#Totals],[Counts]]*100</f>
        <v>0.11554357788495918</v>
      </c>
    </row>
    <row r="45" spans="1:35" x14ac:dyDescent="0.35">
      <c r="A45" t="s">
        <v>73</v>
      </c>
    </row>
    <row r="46" spans="1:35" x14ac:dyDescent="0.35">
      <c r="A46" t="s">
        <v>50</v>
      </c>
      <c r="M46" t="s">
        <v>51</v>
      </c>
      <c r="Y46" t="s">
        <v>52</v>
      </c>
    </row>
    <row r="47" spans="1:35" s="15" customFormat="1" x14ac:dyDescent="0.35">
      <c r="A47" s="17" t="s">
        <v>53</v>
      </c>
      <c r="B47" s="17" t="s">
        <v>3</v>
      </c>
      <c r="C47" s="17" t="s">
        <v>4</v>
      </c>
      <c r="D47" s="17" t="s">
        <v>5</v>
      </c>
      <c r="E47" s="17" t="s">
        <v>6</v>
      </c>
      <c r="F47" s="17" t="s">
        <v>13</v>
      </c>
      <c r="G47" s="17" t="s">
        <v>8</v>
      </c>
      <c r="H47" s="17" t="s">
        <v>9</v>
      </c>
      <c r="I47" s="17" t="s">
        <v>10</v>
      </c>
      <c r="J47" s="17" t="s">
        <v>11</v>
      </c>
      <c r="K47" s="17" t="s">
        <v>54</v>
      </c>
      <c r="M47" s="17" t="s">
        <v>53</v>
      </c>
      <c r="N47" s="17" t="s">
        <v>3</v>
      </c>
      <c r="O47" s="17" t="s">
        <v>4</v>
      </c>
      <c r="P47" s="17" t="s">
        <v>5</v>
      </c>
      <c r="Q47" s="17" t="s">
        <v>6</v>
      </c>
      <c r="R47" s="17" t="s">
        <v>13</v>
      </c>
      <c r="S47" s="17" t="s">
        <v>8</v>
      </c>
      <c r="T47" s="17" t="s">
        <v>9</v>
      </c>
      <c r="U47" s="17" t="s">
        <v>10</v>
      </c>
      <c r="V47" s="17" t="s">
        <v>11</v>
      </c>
      <c r="W47" s="17" t="s">
        <v>54</v>
      </c>
      <c r="Y47" s="17" t="s">
        <v>53</v>
      </c>
      <c r="Z47" s="17" t="s">
        <v>3</v>
      </c>
      <c r="AA47" s="17" t="s">
        <v>4</v>
      </c>
      <c r="AB47" s="17" t="s">
        <v>5</v>
      </c>
      <c r="AC47" s="17" t="s">
        <v>6</v>
      </c>
      <c r="AD47" s="17" t="s">
        <v>13</v>
      </c>
      <c r="AE47" s="17" t="s">
        <v>8</v>
      </c>
      <c r="AF47" s="17" t="s">
        <v>9</v>
      </c>
      <c r="AG47" s="17" t="s">
        <v>10</v>
      </c>
      <c r="AH47" s="17" t="s">
        <v>11</v>
      </c>
      <c r="AI47" s="17" t="s">
        <v>54</v>
      </c>
    </row>
    <row r="48" spans="1:35" x14ac:dyDescent="0.35">
      <c r="A48">
        <v>1</v>
      </c>
      <c r="B48">
        <v>106166</v>
      </c>
      <c r="C48">
        <v>613</v>
      </c>
      <c r="D48">
        <v>0.57739766026788231</v>
      </c>
      <c r="E48">
        <v>43.290960451977398</v>
      </c>
      <c r="F48">
        <v>0.75268187012016008</v>
      </c>
      <c r="G48">
        <v>0.85639247548129227</v>
      </c>
      <c r="H48">
        <v>0.78057109458319918</v>
      </c>
      <c r="I48">
        <v>0.77724509719436852</v>
      </c>
      <c r="J48">
        <v>2.0869558446620889E-2</v>
      </c>
      <c r="K48">
        <f>Table53[[#This Row],[Target Rate]]/Table53[[#Totals],[Target Rate]]</f>
        <v>14.181657215259632</v>
      </c>
      <c r="M48">
        <v>1</v>
      </c>
      <c r="N48">
        <v>4242</v>
      </c>
      <c r="O48">
        <v>35</v>
      </c>
      <c r="P48">
        <v>0.82508250825082496</v>
      </c>
      <c r="Q48">
        <v>37.634408602150543</v>
      </c>
      <c r="R48">
        <v>0.75268298637114872</v>
      </c>
      <c r="S48">
        <v>0.85583405466597018</v>
      </c>
      <c r="T48">
        <v>0.78294542166168468</v>
      </c>
      <c r="U48">
        <v>0.77452121941196961</v>
      </c>
      <c r="V48">
        <v>2.6556446218499941E-2</v>
      </c>
      <c r="W48">
        <f>Table54[[#This Row],[Target Rate]]/Table54[[#Totals],[Target Rate]]</f>
        <v>33.215248944249261</v>
      </c>
      <c r="Y48">
        <v>1</v>
      </c>
      <c r="Z48">
        <v>19143</v>
      </c>
      <c r="AA48">
        <v>84</v>
      </c>
      <c r="AB48">
        <v>0.43880269550227241</v>
      </c>
      <c r="AC48">
        <v>90.322580645161281</v>
      </c>
      <c r="AD48">
        <v>0.33251202470003061</v>
      </c>
      <c r="AE48">
        <v>0.85583405466597018</v>
      </c>
      <c r="AF48">
        <v>0.65501612725378422</v>
      </c>
      <c r="AG48">
        <v>0.71183915353110438</v>
      </c>
      <c r="AH48">
        <v>0.12244614793529079</v>
      </c>
      <c r="AI48">
        <f>Table55[[#This Row],[Target Rate]]/Table55[[#Totals],[Target Rate]]</f>
        <v>17.664828211440888</v>
      </c>
    </row>
    <row r="49" spans="1:35" x14ac:dyDescent="0.35">
      <c r="A49">
        <v>2</v>
      </c>
      <c r="B49">
        <v>116707</v>
      </c>
      <c r="C49">
        <v>369</v>
      </c>
      <c r="D49">
        <v>0.31617640758480642</v>
      </c>
      <c r="E49">
        <v>26.059322033898312</v>
      </c>
      <c r="F49">
        <v>0.691405302936966</v>
      </c>
      <c r="G49">
        <v>0.75268057550039624</v>
      </c>
      <c r="H49">
        <v>0.72551132868561352</v>
      </c>
      <c r="I49">
        <v>0.72635572846340457</v>
      </c>
      <c r="J49">
        <v>1.6842304821164718E-2</v>
      </c>
      <c r="K49">
        <f>Table53[[#This Row],[Target Rate]]/Table53[[#Totals],[Target Rate]]</f>
        <v>7.7657145854031384</v>
      </c>
      <c r="M49">
        <v>2</v>
      </c>
      <c r="N49">
        <v>7580</v>
      </c>
      <c r="O49">
        <v>36</v>
      </c>
      <c r="P49">
        <v>0.47493403693931402</v>
      </c>
      <c r="Q49">
        <v>38.70967741935484</v>
      </c>
      <c r="R49">
        <v>0.69155715282061281</v>
      </c>
      <c r="S49">
        <v>0.75267548753749236</v>
      </c>
      <c r="T49">
        <v>0.72306200815734456</v>
      </c>
      <c r="U49">
        <v>0.7219986015753781</v>
      </c>
      <c r="V49">
        <v>1.6495785490646401E-2</v>
      </c>
      <c r="W49">
        <f>Table54[[#This Row],[Target Rate]]/Table54[[#Totals],[Target Rate]]</f>
        <v>19.119363350072348</v>
      </c>
      <c r="Y49">
        <v>2</v>
      </c>
      <c r="Z49">
        <v>16931</v>
      </c>
      <c r="AA49">
        <v>4</v>
      </c>
      <c r="AB49">
        <v>2.3625302699190831E-2</v>
      </c>
      <c r="AC49">
        <v>4.3010752688172049</v>
      </c>
      <c r="AD49">
        <v>0.10933038296272631</v>
      </c>
      <c r="AE49">
        <v>0.33139926496944822</v>
      </c>
      <c r="AF49">
        <v>0.1638616118255698</v>
      </c>
      <c r="AG49">
        <v>0.1317372219329806</v>
      </c>
      <c r="AH49">
        <v>6.6489029981354947E-2</v>
      </c>
      <c r="AI49">
        <f>Table55[[#This Row],[Target Rate]]/Table55[[#Totals],[Target Rate]]</f>
        <v>0.95108101637068343</v>
      </c>
    </row>
    <row r="50" spans="1:35" x14ac:dyDescent="0.35">
      <c r="A50">
        <v>3</v>
      </c>
      <c r="B50">
        <v>40758</v>
      </c>
      <c r="C50">
        <v>70</v>
      </c>
      <c r="D50">
        <v>0.17174542421119779</v>
      </c>
      <c r="E50">
        <v>4.9435028248587569</v>
      </c>
      <c r="F50">
        <v>0.52958921939893522</v>
      </c>
      <c r="G50">
        <v>0.69138088381645746</v>
      </c>
      <c r="H50">
        <v>0.57403047094325443</v>
      </c>
      <c r="I50">
        <v>0.55637640695491697</v>
      </c>
      <c r="J50">
        <v>5.0187443871505838E-2</v>
      </c>
      <c r="K50">
        <f>Table53[[#This Row],[Target Rate]]/Table53[[#Totals],[Target Rate]]</f>
        <v>4.2182968551042483</v>
      </c>
      <c r="M50">
        <v>3</v>
      </c>
      <c r="N50">
        <v>1630</v>
      </c>
      <c r="O50">
        <v>7</v>
      </c>
      <c r="P50">
        <v>0.42944785276073622</v>
      </c>
      <c r="Q50">
        <v>7.5268817204301079</v>
      </c>
      <c r="R50">
        <v>0.52958921939893522</v>
      </c>
      <c r="S50">
        <v>0.69132543851306838</v>
      </c>
      <c r="T50">
        <v>0.5729892398152886</v>
      </c>
      <c r="U50">
        <v>0.55112868372482016</v>
      </c>
      <c r="V50">
        <v>5.2051153291914419E-2</v>
      </c>
      <c r="W50">
        <f>Table54[[#This Row],[Target Rate]]/Table54[[#Totals],[Target Rate]]</f>
        <v>17.288231413681643</v>
      </c>
      <c r="Y50">
        <v>3</v>
      </c>
      <c r="Z50">
        <v>37051</v>
      </c>
      <c r="AA50">
        <v>0</v>
      </c>
      <c r="AB50">
        <v>0</v>
      </c>
      <c r="AC50">
        <v>0</v>
      </c>
      <c r="AD50">
        <v>8.8835914708082844E-2</v>
      </c>
      <c r="AE50">
        <v>0.10880049250726941</v>
      </c>
      <c r="AF50">
        <v>9.6392195217091581E-2</v>
      </c>
      <c r="AG50">
        <v>9.6381732324678393E-2</v>
      </c>
      <c r="AH50">
        <v>5.1279956390174837E-3</v>
      </c>
      <c r="AI50">
        <f>Table55[[#This Row],[Target Rate]]/Table55[[#Totals],[Target Rate]]</f>
        <v>0</v>
      </c>
    </row>
    <row r="51" spans="1:35" x14ac:dyDescent="0.35">
      <c r="A51">
        <v>4</v>
      </c>
      <c r="B51">
        <v>272078</v>
      </c>
      <c r="C51">
        <v>198</v>
      </c>
      <c r="D51">
        <v>7.2773248847756891E-2</v>
      </c>
      <c r="E51">
        <v>13.98305084745763</v>
      </c>
      <c r="F51">
        <v>0.1441072794588546</v>
      </c>
      <c r="G51">
        <v>0.52955524382391372</v>
      </c>
      <c r="H51">
        <v>0.29851803558252982</v>
      </c>
      <c r="I51">
        <v>0.25767144186432678</v>
      </c>
      <c r="J51">
        <v>0.13023557026222379</v>
      </c>
      <c r="K51">
        <f>Table53[[#This Row],[Target Rate]]/Table53[[#Totals],[Target Rate]]</f>
        <v>1.7874081254864476</v>
      </c>
      <c r="M51">
        <v>4</v>
      </c>
      <c r="N51">
        <v>12362</v>
      </c>
      <c r="O51">
        <v>9</v>
      </c>
      <c r="P51">
        <v>7.2803753437955018E-2</v>
      </c>
      <c r="Q51">
        <v>9.67741935483871</v>
      </c>
      <c r="R51">
        <v>0.1441638890513588</v>
      </c>
      <c r="S51">
        <v>0.52926869162462697</v>
      </c>
      <c r="T51">
        <v>0.35015464568285859</v>
      </c>
      <c r="U51">
        <v>0.33139926496944822</v>
      </c>
      <c r="V51">
        <v>0.14309438963446139</v>
      </c>
      <c r="W51">
        <f>Table54[[#This Row],[Target Rate]]/Table54[[#Totals],[Target Rate]]</f>
        <v>2.9308520909551121</v>
      </c>
      <c r="Y51">
        <v>4</v>
      </c>
      <c r="Z51">
        <v>27050</v>
      </c>
      <c r="AA51">
        <v>0</v>
      </c>
      <c r="AB51">
        <v>0</v>
      </c>
      <c r="AC51">
        <v>0</v>
      </c>
      <c r="AD51">
        <v>6.5714559433262432E-2</v>
      </c>
      <c r="AE51">
        <v>8.8520150716169158E-2</v>
      </c>
      <c r="AF51">
        <v>7.0747681071109556E-2</v>
      </c>
      <c r="AG51">
        <v>6.5714559433262432E-2</v>
      </c>
      <c r="AH51">
        <v>6.9184717837919036E-3</v>
      </c>
      <c r="AI51">
        <f>Table55[[#This Row],[Target Rate]]/Table55[[#Totals],[Target Rate]]</f>
        <v>0</v>
      </c>
    </row>
    <row r="52" spans="1:35" x14ac:dyDescent="0.35">
      <c r="A52">
        <v>5</v>
      </c>
      <c r="B52">
        <v>454313</v>
      </c>
      <c r="C52">
        <v>60</v>
      </c>
      <c r="D52">
        <v>1.320675393396183E-2</v>
      </c>
      <c r="E52">
        <v>4.2372881355932197</v>
      </c>
      <c r="F52">
        <v>9.1824438902787339E-2</v>
      </c>
      <c r="G52">
        <v>0.14394359739993079</v>
      </c>
      <c r="H52">
        <v>0.1079851539278892</v>
      </c>
      <c r="I52">
        <v>0.1049544839060335</v>
      </c>
      <c r="J52">
        <v>1.368166076906588E-2</v>
      </c>
      <c r="K52">
        <f>Table53[[#This Row],[Target Rate]]/Table53[[#Totals],[Target Rate]]</f>
        <v>0.32437550427695505</v>
      </c>
      <c r="M52">
        <v>5</v>
      </c>
      <c r="N52">
        <v>41498</v>
      </c>
      <c r="O52">
        <v>1</v>
      </c>
      <c r="P52">
        <v>2.4097546869728658E-3</v>
      </c>
      <c r="Q52">
        <v>1.075268817204301</v>
      </c>
      <c r="R52">
        <v>9.1824438902787339E-2</v>
      </c>
      <c r="S52">
        <v>0.14394359739993079</v>
      </c>
      <c r="T52">
        <v>0.1034324165843279</v>
      </c>
      <c r="U52">
        <v>9.9254275145816112E-2</v>
      </c>
      <c r="V52">
        <v>1.230495227875783E-2</v>
      </c>
      <c r="W52">
        <f>Table54[[#This Row],[Target Rate]]/Table54[[#Totals],[Target Rate]]</f>
        <v>9.7009209408718738E-2</v>
      </c>
      <c r="Y52">
        <v>5</v>
      </c>
      <c r="Z52">
        <v>42162</v>
      </c>
      <c r="AA52">
        <v>3</v>
      </c>
      <c r="AB52">
        <v>7.1154119823537776E-3</v>
      </c>
      <c r="AC52">
        <v>3.225806451612903</v>
      </c>
      <c r="AD52">
        <v>6.5124632995022996E-2</v>
      </c>
      <c r="AE52">
        <v>6.557762081248418E-2</v>
      </c>
      <c r="AF52">
        <v>6.5124771455331673E-2</v>
      </c>
      <c r="AG52">
        <v>6.5124632995022996E-2</v>
      </c>
      <c r="AH52">
        <v>6.8766405971479802E-6</v>
      </c>
      <c r="AI52">
        <f>Table55[[#This Row],[Target Rate]]/Table55[[#Totals],[Target Rate]]</f>
        <v>0.28644429856574716</v>
      </c>
    </row>
    <row r="53" spans="1:35" x14ac:dyDescent="0.35">
      <c r="A53">
        <v>6</v>
      </c>
      <c r="B53">
        <v>285374</v>
      </c>
      <c r="C53">
        <v>32</v>
      </c>
      <c r="D53">
        <v>1.1213355105931159E-2</v>
      </c>
      <c r="E53">
        <v>2.259887005649718</v>
      </c>
      <c r="F53">
        <v>7.820643128012858E-2</v>
      </c>
      <c r="G53">
        <v>9.1796632658121449E-2</v>
      </c>
      <c r="H53">
        <v>8.5635967598130913E-2</v>
      </c>
      <c r="I53">
        <v>8.4050725328180143E-2</v>
      </c>
      <c r="J53">
        <v>2.982319168435517E-3</v>
      </c>
      <c r="K53">
        <f>Table53[[#This Row],[Target Rate]]/Table53[[#Totals],[Target Rate]]</f>
        <v>0.27541496837988266</v>
      </c>
      <c r="M53">
        <v>6</v>
      </c>
      <c r="N53">
        <v>11407</v>
      </c>
      <c r="O53">
        <v>0</v>
      </c>
      <c r="P53">
        <v>0</v>
      </c>
      <c r="Q53">
        <v>0</v>
      </c>
      <c r="R53">
        <v>7.820643128012858E-2</v>
      </c>
      <c r="S53">
        <v>9.1537126396980514E-2</v>
      </c>
      <c r="T53">
        <v>8.6966171059348688E-2</v>
      </c>
      <c r="U53">
        <v>8.8835914708082844E-2</v>
      </c>
      <c r="V53">
        <v>4.3000593205143722E-3</v>
      </c>
      <c r="W53">
        <f>Table54[[#This Row],[Target Rate]]/Table54[[#Totals],[Target Rate]]</f>
        <v>0</v>
      </c>
      <c r="Y53">
        <v>6</v>
      </c>
      <c r="Z53">
        <v>35303</v>
      </c>
      <c r="AA53">
        <v>2</v>
      </c>
      <c r="AB53">
        <v>5.6652409143698838E-3</v>
      </c>
      <c r="AC53">
        <v>2.150537634408602</v>
      </c>
      <c r="AD53">
        <v>6.091113271212871E-2</v>
      </c>
      <c r="AE53">
        <v>6.4652390441257715E-2</v>
      </c>
      <c r="AF53">
        <v>6.230175258987182E-2</v>
      </c>
      <c r="AG53">
        <v>6.2614289416514493E-2</v>
      </c>
      <c r="AH53">
        <v>9.6953074091997383E-4</v>
      </c>
      <c r="AI53">
        <f>Table55[[#This Row],[Target Rate]]/Table55[[#Totals],[Target Rate]]</f>
        <v>0.22806493340752973</v>
      </c>
    </row>
    <row r="54" spans="1:35" x14ac:dyDescent="0.35">
      <c r="A54">
        <v>7</v>
      </c>
      <c r="B54">
        <v>590752</v>
      </c>
      <c r="C54">
        <v>38</v>
      </c>
      <c r="D54">
        <v>6.4324792806456851E-3</v>
      </c>
      <c r="E54">
        <v>2.6836158192090389</v>
      </c>
      <c r="F54">
        <v>6.3654571349656491E-2</v>
      </c>
      <c r="G54">
        <v>7.7867191219463991E-2</v>
      </c>
      <c r="H54">
        <v>6.6194096231185884E-2</v>
      </c>
      <c r="I54">
        <v>6.5714559433262432E-2</v>
      </c>
      <c r="J54">
        <v>2.58735481732049E-3</v>
      </c>
      <c r="K54">
        <f>Table53[[#This Row],[Target Rate]]/Table53[[#Totals],[Target Rate]]</f>
        <v>0.15799027685712158</v>
      </c>
      <c r="M54">
        <v>7</v>
      </c>
      <c r="N54">
        <v>70434</v>
      </c>
      <c r="O54">
        <v>3</v>
      </c>
      <c r="P54">
        <v>4.2593065848879801E-3</v>
      </c>
      <c r="Q54">
        <v>3.225806451612903</v>
      </c>
      <c r="R54">
        <v>6.3654571349656491E-2</v>
      </c>
      <c r="S54">
        <v>7.7741804817332866E-2</v>
      </c>
      <c r="T54">
        <v>6.5725070473874977E-2</v>
      </c>
      <c r="U54">
        <v>6.5124632995022996E-2</v>
      </c>
      <c r="V54">
        <v>2.140243089509373E-3</v>
      </c>
      <c r="W54">
        <f>Table54[[#This Row],[Target Rate]]/Table54[[#Totals],[Target Rate]]</f>
        <v>0.17146640139888453</v>
      </c>
      <c r="Y54">
        <v>7</v>
      </c>
      <c r="Z54">
        <v>100466</v>
      </c>
      <c r="AA54">
        <v>0</v>
      </c>
      <c r="AB54">
        <v>0</v>
      </c>
      <c r="AC54">
        <v>0</v>
      </c>
      <c r="AD54">
        <v>5.7962337981988313E-2</v>
      </c>
      <c r="AE54">
        <v>6.0392234782735012E-2</v>
      </c>
      <c r="AF54">
        <v>5.7966440899093398E-2</v>
      </c>
      <c r="AG54">
        <v>5.7962337981988313E-2</v>
      </c>
      <c r="AH54">
        <v>7.3818745719734163E-5</v>
      </c>
      <c r="AI54">
        <f>Table55[[#This Row],[Target Rate]]/Table55[[#Totals],[Target Rate]]</f>
        <v>0</v>
      </c>
    </row>
    <row r="55" spans="1:35" x14ac:dyDescent="0.35">
      <c r="A55">
        <v>8</v>
      </c>
      <c r="B55">
        <v>997057</v>
      </c>
      <c r="C55">
        <v>36</v>
      </c>
      <c r="D55">
        <v>3.61062607253146E-3</v>
      </c>
      <c r="E55">
        <v>2.542372881355933</v>
      </c>
      <c r="F55">
        <v>5.7962337981988313E-2</v>
      </c>
      <c r="G55">
        <v>6.3618030127106928E-2</v>
      </c>
      <c r="H55">
        <v>5.8928067023631632E-2</v>
      </c>
      <c r="I55">
        <v>5.7962337981988313E-2</v>
      </c>
      <c r="J55">
        <v>1.736132653185218E-3</v>
      </c>
      <c r="K55">
        <f>Table53[[#This Row],[Target Rate]]/Table53[[#Totals],[Target Rate]]</f>
        <v>8.8681795609223707E-2</v>
      </c>
      <c r="M55">
        <v>8</v>
      </c>
      <c r="N55">
        <v>128953</v>
      </c>
      <c r="O55">
        <v>2</v>
      </c>
      <c r="P55">
        <v>1.5509526726791929E-3</v>
      </c>
      <c r="Q55">
        <v>2.150537634408602</v>
      </c>
      <c r="R55">
        <v>5.7962337981988313E-2</v>
      </c>
      <c r="S55">
        <v>6.3618030127106928E-2</v>
      </c>
      <c r="T55">
        <v>5.8852160610058317E-2</v>
      </c>
      <c r="U55">
        <v>5.7962337981988313E-2</v>
      </c>
      <c r="V55">
        <v>1.704796278311581E-3</v>
      </c>
      <c r="W55">
        <f>Table54[[#This Row],[Target Rate]]/Table54[[#Totals],[Target Rate]]</f>
        <v>6.2436518298031221E-2</v>
      </c>
      <c r="Y55">
        <v>8</v>
      </c>
      <c r="Z55">
        <v>0</v>
      </c>
      <c r="AA55">
        <v>0</v>
      </c>
      <c r="AB55">
        <v>0</v>
      </c>
      <c r="AC55">
        <v>0</v>
      </c>
      <c r="AI55">
        <f>Table55[[#This Row],[Target Rate]]/Table55[[#Totals],[Target Rate]]</f>
        <v>0</v>
      </c>
    </row>
    <row r="56" spans="1:35" x14ac:dyDescent="0.35">
      <c r="A56">
        <v>9</v>
      </c>
      <c r="B56">
        <v>418816</v>
      </c>
      <c r="C56">
        <v>0</v>
      </c>
      <c r="D56">
        <v>0</v>
      </c>
      <c r="E56">
        <v>0</v>
      </c>
      <c r="F56">
        <v>5.6815796770434121E-2</v>
      </c>
      <c r="G56">
        <v>5.7808920970629472E-2</v>
      </c>
      <c r="H56">
        <v>5.6923230524143498E-2</v>
      </c>
      <c r="I56">
        <v>5.6815796770434121E-2</v>
      </c>
      <c r="J56">
        <v>1.5571539955230721E-4</v>
      </c>
      <c r="K56">
        <f>Table53[[#This Row],[Target Rate]]/Table53[[#Totals],[Target Rate]]</f>
        <v>0</v>
      </c>
      <c r="M56">
        <v>9</v>
      </c>
      <c r="N56">
        <v>67913</v>
      </c>
      <c r="O56">
        <v>0</v>
      </c>
      <c r="P56">
        <v>0</v>
      </c>
      <c r="Q56">
        <v>0</v>
      </c>
      <c r="R56">
        <v>5.6815796770434121E-2</v>
      </c>
      <c r="S56">
        <v>5.7808920970629472E-2</v>
      </c>
      <c r="T56">
        <v>5.6912665937194268E-2</v>
      </c>
      <c r="U56">
        <v>5.6815796770434121E-2</v>
      </c>
      <c r="V56">
        <v>1.5135445744214699E-4</v>
      </c>
      <c r="W56">
        <f>Table54[[#This Row],[Target Rate]]/Table54[[#Totals],[Target Rate]]</f>
        <v>0</v>
      </c>
      <c r="Y56">
        <v>9</v>
      </c>
      <c r="Z56">
        <v>67913</v>
      </c>
      <c r="AA56">
        <v>0</v>
      </c>
      <c r="AB56">
        <v>0</v>
      </c>
      <c r="AC56">
        <v>0</v>
      </c>
      <c r="AD56">
        <v>5.6815796770434121E-2</v>
      </c>
      <c r="AE56">
        <v>5.7808920970629472E-2</v>
      </c>
      <c r="AF56">
        <v>5.6912665937194268E-2</v>
      </c>
      <c r="AG56">
        <v>5.6815796770434121E-2</v>
      </c>
      <c r="AH56">
        <v>1.5135445744214699E-4</v>
      </c>
      <c r="AI56">
        <f>Table55[[#This Row],[Target Rate]]/Table55[[#Totals],[Target Rate]]</f>
        <v>0</v>
      </c>
    </row>
    <row r="57" spans="1:35" x14ac:dyDescent="0.35">
      <c r="A57">
        <v>10</v>
      </c>
      <c r="B57">
        <v>195864</v>
      </c>
      <c r="C57">
        <v>0</v>
      </c>
      <c r="D57">
        <v>0</v>
      </c>
      <c r="E57">
        <v>0</v>
      </c>
      <c r="F57">
        <v>3.9838432928937247E-2</v>
      </c>
      <c r="G57">
        <v>5.6452868554545108E-2</v>
      </c>
      <c r="H57">
        <v>4.5744633350593943E-2</v>
      </c>
      <c r="I57">
        <v>4.2853617017616127E-2</v>
      </c>
      <c r="J57">
        <v>3.651777637666729E-3</v>
      </c>
      <c r="K57">
        <f>Table53[[#This Row],[Target Rate]]/Table53[[#Totals],[Target Rate]]</f>
        <v>0</v>
      </c>
      <c r="M57">
        <v>10</v>
      </c>
      <c r="N57">
        <v>28370</v>
      </c>
      <c r="O57">
        <v>0</v>
      </c>
      <c r="P57">
        <v>0</v>
      </c>
      <c r="Q57">
        <v>0</v>
      </c>
      <c r="R57">
        <v>3.9838432928937247E-2</v>
      </c>
      <c r="S57">
        <v>5.6452868554545108E-2</v>
      </c>
      <c r="T57">
        <v>4.556505089116035E-2</v>
      </c>
      <c r="U57">
        <v>4.2853617017616127E-2</v>
      </c>
      <c r="V57">
        <v>3.3991730608033829E-3</v>
      </c>
      <c r="W57">
        <f>Table54[[#This Row],[Target Rate]]/Table54[[#Totals],[Target Rate]]</f>
        <v>0</v>
      </c>
      <c r="Y57">
        <v>10</v>
      </c>
      <c r="Z57">
        <v>28370</v>
      </c>
      <c r="AA57">
        <v>0</v>
      </c>
      <c r="AB57">
        <v>0</v>
      </c>
      <c r="AC57">
        <v>0</v>
      </c>
      <c r="AD57">
        <v>3.9838432928937247E-2</v>
      </c>
      <c r="AE57">
        <v>5.6452868554545108E-2</v>
      </c>
      <c r="AF57">
        <v>4.556505089116035E-2</v>
      </c>
      <c r="AG57">
        <v>4.2853617017616127E-2</v>
      </c>
      <c r="AH57">
        <v>3.3991730608033829E-3</v>
      </c>
      <c r="AI57">
        <f>Table55[[#This Row],[Target Rate]]/Table55[[#Totals],[Target Rate]]</f>
        <v>0</v>
      </c>
    </row>
    <row r="58" spans="1:35" x14ac:dyDescent="0.35">
      <c r="B58">
        <f>SUM(Table53[Counts])</f>
        <v>3477885</v>
      </c>
      <c r="C58">
        <f>SUM(Table53[Positive Target])</f>
        <v>1416</v>
      </c>
      <c r="D58">
        <f>Table53[[#Totals],[Positive Target]]/Table53[[#Totals],[Counts]]*100</f>
        <v>4.0714399699817563E-2</v>
      </c>
      <c r="N58">
        <f>SUM(Table54[Counts])</f>
        <v>374389</v>
      </c>
      <c r="O58">
        <f>SUM(Table54[Positive Target])</f>
        <v>93</v>
      </c>
      <c r="P58">
        <f>Table54[[#Totals],[Positive Target]]/Table54[[#Totals],[Counts]]*100</f>
        <v>2.4840473411344884E-2</v>
      </c>
      <c r="Z58">
        <f>SUM(Table55[Counts])</f>
        <v>374389</v>
      </c>
      <c r="AA58">
        <f>SUM(Table55[Positive Target])</f>
        <v>93</v>
      </c>
      <c r="AB58">
        <f>Table55[[#Totals],[Positive Target]]/Table55[[#Totals],[Counts]]*100</f>
        <v>2.4840473411344884E-2</v>
      </c>
    </row>
    <row r="59" spans="1:35" x14ac:dyDescent="0.35">
      <c r="A59" t="s">
        <v>82</v>
      </c>
    </row>
    <row r="60" spans="1:35" x14ac:dyDescent="0.35">
      <c r="A60" t="s">
        <v>50</v>
      </c>
      <c r="M60" t="s">
        <v>51</v>
      </c>
      <c r="Y60" t="s">
        <v>52</v>
      </c>
    </row>
    <row r="61" spans="1:35" s="15" customFormat="1" x14ac:dyDescent="0.35">
      <c r="A61" s="17" t="s">
        <v>83</v>
      </c>
      <c r="B61" s="17" t="s">
        <v>3</v>
      </c>
      <c r="C61" s="17" t="s">
        <v>4</v>
      </c>
      <c r="D61" s="17" t="s">
        <v>5</v>
      </c>
      <c r="E61" s="17" t="s">
        <v>6</v>
      </c>
      <c r="F61" s="17" t="s">
        <v>13</v>
      </c>
      <c r="G61" s="17" t="s">
        <v>8</v>
      </c>
      <c r="H61" s="17" t="s">
        <v>9</v>
      </c>
      <c r="I61" s="17" t="s">
        <v>10</v>
      </c>
      <c r="J61" s="17" t="s">
        <v>11</v>
      </c>
      <c r="M61" s="17" t="s">
        <v>83</v>
      </c>
      <c r="N61" s="17" t="s">
        <v>3</v>
      </c>
      <c r="O61" s="17" t="s">
        <v>4</v>
      </c>
      <c r="P61" s="17" t="s">
        <v>5</v>
      </c>
      <c r="Q61" s="17" t="s">
        <v>6</v>
      </c>
      <c r="R61" s="17" t="s">
        <v>13</v>
      </c>
      <c r="S61" s="17" t="s">
        <v>8</v>
      </c>
      <c r="T61" s="17" t="s">
        <v>9</v>
      </c>
      <c r="U61" s="17" t="s">
        <v>10</v>
      </c>
      <c r="V61" s="17" t="s">
        <v>11</v>
      </c>
      <c r="Y61" s="17" t="s">
        <v>83</v>
      </c>
      <c r="Z61" s="17" t="s">
        <v>3</v>
      </c>
      <c r="AA61" s="17" t="s">
        <v>4</v>
      </c>
      <c r="AB61" s="17" t="s">
        <v>5</v>
      </c>
      <c r="AC61" s="17" t="s">
        <v>6</v>
      </c>
      <c r="AD61" s="17" t="s">
        <v>13</v>
      </c>
      <c r="AE61" s="17" t="s">
        <v>8</v>
      </c>
      <c r="AF61" s="17" t="s">
        <v>9</v>
      </c>
      <c r="AG61" s="17" t="s">
        <v>10</v>
      </c>
      <c r="AH61" s="17" t="s">
        <v>11</v>
      </c>
    </row>
    <row r="62" spans="1:35" x14ac:dyDescent="0.35">
      <c r="A62" t="s">
        <v>84</v>
      </c>
      <c r="B62">
        <v>726679</v>
      </c>
      <c r="C62">
        <v>1834</v>
      </c>
      <c r="D62">
        <v>0.25238103756954577</v>
      </c>
      <c r="E62">
        <v>21.518244749501349</v>
      </c>
      <c r="F62">
        <v>3.8115205690269348E-2</v>
      </c>
      <c r="G62">
        <v>0.85815351609045165</v>
      </c>
      <c r="H62">
        <v>0.46121410880710217</v>
      </c>
      <c r="I62">
        <v>0.52277768519529377</v>
      </c>
      <c r="J62">
        <v>0.27355426023536161</v>
      </c>
      <c r="M62" t="s">
        <v>84</v>
      </c>
      <c r="N62">
        <v>161125</v>
      </c>
      <c r="O62">
        <v>557</v>
      </c>
      <c r="P62">
        <v>0.34569433669511251</v>
      </c>
      <c r="Q62">
        <v>18.511133266866072</v>
      </c>
      <c r="R62">
        <v>3.8115205690269348E-2</v>
      </c>
      <c r="S62">
        <v>0.85815351609045165</v>
      </c>
      <c r="T62">
        <v>0.57287733970885701</v>
      </c>
      <c r="U62">
        <v>0.67958907214237163</v>
      </c>
      <c r="V62">
        <v>0.21732327845498131</v>
      </c>
      <c r="Y62" t="s">
        <v>84</v>
      </c>
      <c r="Z62">
        <v>83889</v>
      </c>
      <c r="AA62">
        <v>253</v>
      </c>
      <c r="AB62">
        <v>0.30158900451787479</v>
      </c>
      <c r="AC62">
        <v>30.37214885954382</v>
      </c>
      <c r="AD62">
        <v>3.8115205690269348E-2</v>
      </c>
      <c r="AE62">
        <v>0.85735347392484218</v>
      </c>
      <c r="AF62">
        <v>0.55771434093906191</v>
      </c>
      <c r="AG62">
        <v>0.63762222399207036</v>
      </c>
      <c r="AH62">
        <v>0.22089295423174521</v>
      </c>
    </row>
    <row r="63" spans="1:35" x14ac:dyDescent="0.35">
      <c r="A63" t="s">
        <v>85</v>
      </c>
      <c r="B63">
        <v>1355046</v>
      </c>
      <c r="C63">
        <v>1170</v>
      </c>
      <c r="D63">
        <v>8.6343932235510817E-2</v>
      </c>
      <c r="E63">
        <v>13.72756071805702</v>
      </c>
      <c r="F63">
        <v>3.8115205690269348E-2</v>
      </c>
      <c r="G63">
        <v>0.85793450614130029</v>
      </c>
      <c r="H63">
        <v>0.26292272439016268</v>
      </c>
      <c r="I63">
        <v>8.6322968358258756E-2</v>
      </c>
      <c r="J63">
        <v>0.27636734707515492</v>
      </c>
      <c r="M63" t="s">
        <v>85</v>
      </c>
      <c r="N63">
        <v>276309</v>
      </c>
      <c r="O63">
        <v>376</v>
      </c>
      <c r="P63">
        <v>0.13607953414474369</v>
      </c>
      <c r="Q63">
        <v>12.495845795945501</v>
      </c>
      <c r="R63">
        <v>3.8115205690269348E-2</v>
      </c>
      <c r="S63">
        <v>0.85793450614130029</v>
      </c>
      <c r="T63">
        <v>0.29694389664354209</v>
      </c>
      <c r="U63">
        <v>8.4050725328180143E-2</v>
      </c>
      <c r="V63">
        <v>0.29191876544409329</v>
      </c>
      <c r="Y63" t="s">
        <v>85</v>
      </c>
      <c r="Z63">
        <v>134976</v>
      </c>
      <c r="AA63">
        <v>124</v>
      </c>
      <c r="AB63">
        <v>9.1868183973447121E-2</v>
      </c>
      <c r="AC63">
        <v>14.8859543817527</v>
      </c>
      <c r="AD63">
        <v>3.8115205690269348E-2</v>
      </c>
      <c r="AE63">
        <v>0.85737608532597809</v>
      </c>
      <c r="AF63">
        <v>0.30349362366823063</v>
      </c>
      <c r="AG63">
        <v>8.6322968358258756E-2</v>
      </c>
      <c r="AH63">
        <v>0.29004634785557531</v>
      </c>
    </row>
    <row r="64" spans="1:35" x14ac:dyDescent="0.35">
      <c r="A64" t="s">
        <v>86</v>
      </c>
      <c r="B64">
        <v>1288929</v>
      </c>
      <c r="C64">
        <v>890</v>
      </c>
      <c r="D64">
        <v>6.9049575267528321E-2</v>
      </c>
      <c r="E64">
        <v>10.44233251202628</v>
      </c>
      <c r="F64">
        <v>3.8115205690269348E-2</v>
      </c>
      <c r="G64">
        <v>0.85793450614130029</v>
      </c>
      <c r="H64">
        <v>0.24371919841961179</v>
      </c>
      <c r="I64">
        <v>7.72634159760172E-2</v>
      </c>
      <c r="J64">
        <v>0.27408757387611998</v>
      </c>
      <c r="M64" t="s">
        <v>86</v>
      </c>
      <c r="N64">
        <v>269315</v>
      </c>
      <c r="O64">
        <v>349</v>
      </c>
      <c r="P64">
        <v>0.129588028888105</v>
      </c>
      <c r="Q64">
        <v>11.598537720172811</v>
      </c>
      <c r="R64">
        <v>3.8597477535832377E-2</v>
      </c>
      <c r="S64">
        <v>0.85738962766579485</v>
      </c>
      <c r="T64">
        <v>0.25175202754189641</v>
      </c>
      <c r="U64">
        <v>6.8282149520719787E-2</v>
      </c>
      <c r="V64">
        <v>0.28055282788814978</v>
      </c>
      <c r="Y64" t="s">
        <v>86</v>
      </c>
      <c r="Z64">
        <v>140018</v>
      </c>
      <c r="AA64">
        <v>81</v>
      </c>
      <c r="AB64">
        <v>5.78497050379237E-2</v>
      </c>
      <c r="AC64">
        <v>9.7238895558223284</v>
      </c>
      <c r="AD64">
        <v>3.8597477535832377E-2</v>
      </c>
      <c r="AE64">
        <v>0.85713446397569082</v>
      </c>
      <c r="AF64">
        <v>0.25924862015575079</v>
      </c>
      <c r="AG64">
        <v>7.0489585341627761E-2</v>
      </c>
      <c r="AH64">
        <v>0.28011501593872729</v>
      </c>
    </row>
    <row r="65" spans="1:34" x14ac:dyDescent="0.35">
      <c r="A65" t="s">
        <v>87</v>
      </c>
      <c r="B65">
        <v>1502999</v>
      </c>
      <c r="C65">
        <v>890</v>
      </c>
      <c r="D65">
        <v>5.9214942924113723E-2</v>
      </c>
      <c r="E65">
        <v>10.44233251202628</v>
      </c>
      <c r="F65">
        <v>3.8443985184072389E-2</v>
      </c>
      <c r="G65">
        <v>0.85736976529017872</v>
      </c>
      <c r="H65">
        <v>0.23010849844898229</v>
      </c>
      <c r="I65">
        <v>6.5124632995022996E-2</v>
      </c>
      <c r="J65">
        <v>0.26804638075211029</v>
      </c>
      <c r="M65" t="s">
        <v>87</v>
      </c>
      <c r="N65">
        <v>359678</v>
      </c>
      <c r="O65">
        <v>486</v>
      </c>
      <c r="P65">
        <v>0.13512085810085689</v>
      </c>
      <c r="Q65">
        <v>16.15154536390828</v>
      </c>
      <c r="R65">
        <v>3.8115205690269348E-2</v>
      </c>
      <c r="S65">
        <v>0.85793450614130029</v>
      </c>
      <c r="T65">
        <v>0.21959595721935249</v>
      </c>
      <c r="U65">
        <v>6.0303680817294217E-2</v>
      </c>
      <c r="V65">
        <v>0.26542529505592699</v>
      </c>
      <c r="Y65" t="s">
        <v>87</v>
      </c>
      <c r="Z65">
        <v>182378</v>
      </c>
      <c r="AA65">
        <v>61</v>
      </c>
      <c r="AB65">
        <v>3.344701663577844E-2</v>
      </c>
      <c r="AC65">
        <v>7.3229291716686671</v>
      </c>
      <c r="AD65">
        <v>3.8115205690269348E-2</v>
      </c>
      <c r="AE65">
        <v>0.85737608532597809</v>
      </c>
      <c r="AF65">
        <v>0.22478096468175091</v>
      </c>
      <c r="AG65">
        <v>6.0303680817294217E-2</v>
      </c>
      <c r="AH65">
        <v>0.26707421918118213</v>
      </c>
    </row>
    <row r="66" spans="1:34" x14ac:dyDescent="0.35">
      <c r="A66" t="s">
        <v>88</v>
      </c>
      <c r="B66">
        <v>1238670</v>
      </c>
      <c r="C66">
        <v>879</v>
      </c>
      <c r="D66">
        <v>7.0963210540337621E-2</v>
      </c>
      <c r="E66">
        <v>10.313269975360789</v>
      </c>
      <c r="F66">
        <v>3.8115205690269348E-2</v>
      </c>
      <c r="G66">
        <v>0.85791189474016438</v>
      </c>
      <c r="H66">
        <v>0.25520242788205899</v>
      </c>
      <c r="I66">
        <v>7.990172625962319E-2</v>
      </c>
      <c r="J66">
        <v>0.28046494530644139</v>
      </c>
      <c r="M66" t="s">
        <v>88</v>
      </c>
      <c r="N66">
        <v>287601</v>
      </c>
      <c r="O66">
        <v>367</v>
      </c>
      <c r="P66">
        <v>0.1276073448979663</v>
      </c>
      <c r="Q66">
        <v>12.196743104021269</v>
      </c>
      <c r="R66">
        <v>3.8115205690269348E-2</v>
      </c>
      <c r="S66">
        <v>0.85736976529017872</v>
      </c>
      <c r="T66">
        <v>0.21542501319512769</v>
      </c>
      <c r="U66">
        <v>6.0057868887479597E-2</v>
      </c>
      <c r="V66">
        <v>0.26199363570405437</v>
      </c>
      <c r="Y66" t="s">
        <v>88</v>
      </c>
      <c r="Z66">
        <v>150772</v>
      </c>
      <c r="AA66">
        <v>59</v>
      </c>
      <c r="AB66">
        <v>3.9131934311410613E-2</v>
      </c>
      <c r="AC66">
        <v>7.0828331332533008</v>
      </c>
      <c r="AD66">
        <v>3.8115205690269348E-2</v>
      </c>
      <c r="AE66">
        <v>0.85681134447485652</v>
      </c>
      <c r="AF66">
        <v>0.2172511303926061</v>
      </c>
      <c r="AG66">
        <v>6.0057868887479597E-2</v>
      </c>
      <c r="AH66">
        <v>0.26158154777911891</v>
      </c>
    </row>
    <row r="67" spans="1:34" x14ac:dyDescent="0.35">
      <c r="A67" t="s">
        <v>89</v>
      </c>
      <c r="B67">
        <v>1741359</v>
      </c>
      <c r="C67">
        <v>1759</v>
      </c>
      <c r="D67">
        <v>0.1010130593404347</v>
      </c>
      <c r="E67">
        <v>20.638272908600261</v>
      </c>
      <c r="F67">
        <v>3.8115205690269348E-2</v>
      </c>
      <c r="G67">
        <v>0.85815351609045165</v>
      </c>
      <c r="H67">
        <v>0.3076586221119253</v>
      </c>
      <c r="I67">
        <v>9.6682545950246043E-2</v>
      </c>
      <c r="J67">
        <v>0.3012880934475039</v>
      </c>
      <c r="M67" t="s">
        <v>89</v>
      </c>
      <c r="N67">
        <v>308068</v>
      </c>
      <c r="O67">
        <v>508</v>
      </c>
      <c r="P67">
        <v>0.16489865873768131</v>
      </c>
      <c r="Q67">
        <v>16.88268527750083</v>
      </c>
      <c r="R67">
        <v>3.8115205690269348E-2</v>
      </c>
      <c r="S67">
        <v>0.85793450614130029</v>
      </c>
      <c r="T67">
        <v>0.28899244099179899</v>
      </c>
      <c r="U67">
        <v>8.6911818366644147E-2</v>
      </c>
      <c r="V67">
        <v>0.29570287710591597</v>
      </c>
      <c r="Y67" t="s">
        <v>89</v>
      </c>
      <c r="Z67">
        <v>146033</v>
      </c>
      <c r="AA67">
        <v>94</v>
      </c>
      <c r="AB67">
        <v>6.4369012483479759E-2</v>
      </c>
      <c r="AC67">
        <v>11.284513805522209</v>
      </c>
      <c r="AD67">
        <v>3.8115205690269348E-2</v>
      </c>
      <c r="AE67">
        <v>0.85737608532597809</v>
      </c>
      <c r="AF67">
        <v>0.29621357001316062</v>
      </c>
      <c r="AG67">
        <v>8.8454660338790542E-2</v>
      </c>
      <c r="AH67">
        <v>0.29646993584130149</v>
      </c>
    </row>
    <row r="68" spans="1:34" x14ac:dyDescent="0.35">
      <c r="A68" t="s">
        <v>90</v>
      </c>
      <c r="B68">
        <v>609605</v>
      </c>
      <c r="C68">
        <v>1101</v>
      </c>
      <c r="D68">
        <v>0.18060875484945171</v>
      </c>
      <c r="E68">
        <v>12.917986624428019</v>
      </c>
      <c r="F68">
        <v>3.8115205690269348E-2</v>
      </c>
      <c r="G68">
        <v>0.85815351609045165</v>
      </c>
      <c r="H68">
        <v>0.36175445848230298</v>
      </c>
      <c r="I68">
        <v>0.1162906672849304</v>
      </c>
      <c r="J68">
        <v>0.32751016072234729</v>
      </c>
      <c r="M68" t="s">
        <v>90</v>
      </c>
      <c r="N68">
        <v>296500</v>
      </c>
      <c r="O68">
        <v>366</v>
      </c>
      <c r="P68">
        <v>0.12344013490725129</v>
      </c>
      <c r="Q68">
        <v>12.16350947158524</v>
      </c>
      <c r="R68">
        <v>3.8115205690269348E-2</v>
      </c>
      <c r="S68">
        <v>0.85793450614130029</v>
      </c>
      <c r="T68">
        <v>0.31776440815675111</v>
      </c>
      <c r="U68">
        <v>9.4965608741877677E-2</v>
      </c>
      <c r="V68">
        <v>0.31314616443966359</v>
      </c>
      <c r="Y68" t="s">
        <v>90</v>
      </c>
      <c r="Z68">
        <v>176774</v>
      </c>
      <c r="AA68">
        <v>161</v>
      </c>
      <c r="AB68">
        <v>9.1076742054827062E-2</v>
      </c>
      <c r="AC68">
        <v>19.327731092436981</v>
      </c>
      <c r="AD68">
        <v>3.8115205690269348E-2</v>
      </c>
      <c r="AE68">
        <v>0.85737608532597809</v>
      </c>
      <c r="AF68">
        <v>0.32817084104990518</v>
      </c>
      <c r="AG68">
        <v>9.72594321113711E-2</v>
      </c>
      <c r="AH68">
        <v>0.31372822710292342</v>
      </c>
    </row>
    <row r="70" spans="1:34" x14ac:dyDescent="0.35">
      <c r="A70" t="s">
        <v>91</v>
      </c>
    </row>
    <row r="71" spans="1:34" x14ac:dyDescent="0.35">
      <c r="A71" t="s">
        <v>50</v>
      </c>
      <c r="M71" t="s">
        <v>51</v>
      </c>
      <c r="Y71" t="s">
        <v>52</v>
      </c>
    </row>
    <row r="72" spans="1:34" s="15" customFormat="1" x14ac:dyDescent="0.35">
      <c r="A72" s="17" t="s">
        <v>83</v>
      </c>
      <c r="B72" s="17" t="s">
        <v>3</v>
      </c>
      <c r="C72" s="17" t="s">
        <v>4</v>
      </c>
      <c r="D72" s="17" t="s">
        <v>5</v>
      </c>
      <c r="E72" s="17" t="s">
        <v>6</v>
      </c>
      <c r="F72" s="17" t="s">
        <v>13</v>
      </c>
      <c r="G72" s="17" t="s">
        <v>8</v>
      </c>
      <c r="H72" s="17" t="s">
        <v>9</v>
      </c>
      <c r="I72" s="17" t="s">
        <v>10</v>
      </c>
      <c r="J72" s="17" t="s">
        <v>11</v>
      </c>
      <c r="M72" s="17" t="s">
        <v>83</v>
      </c>
      <c r="N72" s="17" t="s">
        <v>3</v>
      </c>
      <c r="O72" s="17" t="s">
        <v>4</v>
      </c>
      <c r="P72" s="17" t="s">
        <v>5</v>
      </c>
      <c r="Q72" s="17" t="s">
        <v>6</v>
      </c>
      <c r="R72" s="17" t="s">
        <v>13</v>
      </c>
      <c r="S72" s="17" t="s">
        <v>8</v>
      </c>
      <c r="T72" s="17" t="s">
        <v>9</v>
      </c>
      <c r="U72" s="17" t="s">
        <v>10</v>
      </c>
      <c r="V72" s="17" t="s">
        <v>11</v>
      </c>
      <c r="Y72" s="17" t="s">
        <v>83</v>
      </c>
      <c r="Z72" s="17" t="s">
        <v>3</v>
      </c>
      <c r="AA72" s="17" t="s">
        <v>4</v>
      </c>
      <c r="AB72" s="17" t="s">
        <v>5</v>
      </c>
      <c r="AC72" s="17" t="s">
        <v>6</v>
      </c>
      <c r="AD72" s="17" t="s">
        <v>13</v>
      </c>
      <c r="AE72" s="17" t="s">
        <v>8</v>
      </c>
      <c r="AF72" s="17" t="s">
        <v>9</v>
      </c>
      <c r="AG72" s="17" t="s">
        <v>10</v>
      </c>
      <c r="AH72" s="17" t="s">
        <v>11</v>
      </c>
    </row>
    <row r="73" spans="1:34" x14ac:dyDescent="0.35">
      <c r="A73" t="s">
        <v>84</v>
      </c>
      <c r="B73">
        <v>366841</v>
      </c>
      <c r="C73">
        <v>1053</v>
      </c>
      <c r="D73">
        <v>0.28704534116960762</v>
      </c>
      <c r="E73">
        <v>14.816378218657659</v>
      </c>
      <c r="F73">
        <v>3.8115205690269348E-2</v>
      </c>
      <c r="G73">
        <v>0.85815351609045165</v>
      </c>
      <c r="H73">
        <v>0.57303036579980415</v>
      </c>
      <c r="I73">
        <v>0.6613785136093886</v>
      </c>
      <c r="J73">
        <v>0.2161391914463788</v>
      </c>
      <c r="M73" t="s">
        <v>84</v>
      </c>
      <c r="N73">
        <v>122756</v>
      </c>
      <c r="O73">
        <v>402</v>
      </c>
      <c r="P73">
        <v>0.3274789012349702</v>
      </c>
      <c r="Q73">
        <v>14.34689507494647</v>
      </c>
      <c r="R73">
        <v>3.8115205690269348E-2</v>
      </c>
      <c r="S73">
        <v>0.85815351609045165</v>
      </c>
      <c r="T73">
        <v>0.60732161756335523</v>
      </c>
      <c r="U73">
        <v>0.69151646966052582</v>
      </c>
      <c r="V73">
        <v>0.18644478035195891</v>
      </c>
      <c r="Y73" t="s">
        <v>84</v>
      </c>
      <c r="Z73">
        <v>63018</v>
      </c>
      <c r="AA73">
        <v>180</v>
      </c>
      <c r="AB73">
        <v>0.28563267637817769</v>
      </c>
      <c r="AC73">
        <v>24.32432432432433</v>
      </c>
      <c r="AD73">
        <v>3.8115205690269348E-2</v>
      </c>
      <c r="AE73">
        <v>0.85735347392484218</v>
      </c>
      <c r="AF73">
        <v>0.58519575506812838</v>
      </c>
      <c r="AG73">
        <v>0.67211104791590326</v>
      </c>
      <c r="AH73">
        <v>0.20019556822950929</v>
      </c>
    </row>
    <row r="74" spans="1:34" x14ac:dyDescent="0.35">
      <c r="A74" t="s">
        <v>85</v>
      </c>
      <c r="B74">
        <v>429623</v>
      </c>
      <c r="C74">
        <v>824</v>
      </c>
      <c r="D74">
        <v>0.1917960630599386</v>
      </c>
      <c r="E74">
        <v>11.594202898550719</v>
      </c>
      <c r="F74">
        <v>3.8115205690269348E-2</v>
      </c>
      <c r="G74">
        <v>0.85793450614130029</v>
      </c>
      <c r="H74">
        <v>0.50657648916412457</v>
      </c>
      <c r="I74">
        <v>0.62466153375341527</v>
      </c>
      <c r="J74">
        <v>0.27420584774772899</v>
      </c>
      <c r="M74" t="s">
        <v>85</v>
      </c>
      <c r="N74">
        <v>121836</v>
      </c>
      <c r="O74">
        <v>354</v>
      </c>
      <c r="P74">
        <v>0.29055451590662862</v>
      </c>
      <c r="Q74">
        <v>12.633832976445399</v>
      </c>
      <c r="R74">
        <v>3.8115205690269348E-2</v>
      </c>
      <c r="S74">
        <v>0.85793450614130029</v>
      </c>
      <c r="T74">
        <v>0.55624043334500306</v>
      </c>
      <c r="U74">
        <v>0.65064557118241506</v>
      </c>
      <c r="V74">
        <v>0.23578597489968689</v>
      </c>
      <c r="Y74" t="s">
        <v>85</v>
      </c>
      <c r="Z74">
        <v>64642</v>
      </c>
      <c r="AA74">
        <v>115</v>
      </c>
      <c r="AB74">
        <v>0.17790291141982001</v>
      </c>
      <c r="AC74">
        <v>15.54054054054054</v>
      </c>
      <c r="AD74">
        <v>3.8115205690269348E-2</v>
      </c>
      <c r="AE74">
        <v>0.85737608532597809</v>
      </c>
      <c r="AF74">
        <v>0.53739580369609852</v>
      </c>
      <c r="AG74">
        <v>0.62173831027042736</v>
      </c>
      <c r="AH74">
        <v>0.24044970411158451</v>
      </c>
    </row>
    <row r="75" spans="1:34" x14ac:dyDescent="0.35">
      <c r="A75" t="s">
        <v>86</v>
      </c>
      <c r="B75">
        <v>904948</v>
      </c>
      <c r="C75">
        <v>825</v>
      </c>
      <c r="D75">
        <v>9.1165459230806628E-2</v>
      </c>
      <c r="E75">
        <v>11.608273533136339</v>
      </c>
      <c r="F75">
        <v>3.8115205690269348E-2</v>
      </c>
      <c r="G75">
        <v>0.85793450614130029</v>
      </c>
      <c r="H75">
        <v>0.3011342478710346</v>
      </c>
      <c r="I75">
        <v>0.1017889734534929</v>
      </c>
      <c r="J75">
        <v>0.29458723044793139</v>
      </c>
      <c r="M75" t="s">
        <v>86</v>
      </c>
      <c r="N75">
        <v>165298</v>
      </c>
      <c r="O75">
        <v>332</v>
      </c>
      <c r="P75">
        <v>0.20084937506805889</v>
      </c>
      <c r="Q75">
        <v>11.8486795146324</v>
      </c>
      <c r="R75">
        <v>3.8597477535832377E-2</v>
      </c>
      <c r="S75">
        <v>0.85738962766579485</v>
      </c>
      <c r="T75">
        <v>0.35846871489475368</v>
      </c>
      <c r="U75">
        <v>0.2368800049358592</v>
      </c>
      <c r="V75">
        <v>0.30514402104240679</v>
      </c>
      <c r="Y75" t="s">
        <v>86</v>
      </c>
      <c r="Z75">
        <v>81127</v>
      </c>
      <c r="AA75">
        <v>77</v>
      </c>
      <c r="AB75">
        <v>9.4912914319523714E-2</v>
      </c>
      <c r="AC75">
        <v>10.405405405405411</v>
      </c>
      <c r="AD75">
        <v>3.8597477535832377E-2</v>
      </c>
      <c r="AE75">
        <v>0.85713446397569082</v>
      </c>
      <c r="AF75">
        <v>0.38989003686246981</v>
      </c>
      <c r="AG75">
        <v>0.35779768859422773</v>
      </c>
      <c r="AH75">
        <v>0.29886628403466792</v>
      </c>
    </row>
    <row r="76" spans="1:34" x14ac:dyDescent="0.35">
      <c r="A76" t="s">
        <v>87</v>
      </c>
      <c r="B76">
        <v>634668</v>
      </c>
      <c r="C76">
        <v>757</v>
      </c>
      <c r="D76">
        <v>0.1192749595063876</v>
      </c>
      <c r="E76">
        <v>10.6514703813142</v>
      </c>
      <c r="F76">
        <v>3.8443985184072389E-2</v>
      </c>
      <c r="G76">
        <v>0.85736976529017872</v>
      </c>
      <c r="H76">
        <v>0.41593180150996778</v>
      </c>
      <c r="I76">
        <v>0.54036598853245932</v>
      </c>
      <c r="J76">
        <v>0.29777362172399968</v>
      </c>
      <c r="M76" t="s">
        <v>87</v>
      </c>
      <c r="N76">
        <v>179276</v>
      </c>
      <c r="O76">
        <v>478</v>
      </c>
      <c r="P76">
        <v>0.26662799259242731</v>
      </c>
      <c r="Q76">
        <v>17.059243397573159</v>
      </c>
      <c r="R76">
        <v>3.8115205690269348E-2</v>
      </c>
      <c r="S76">
        <v>0.85793450614130029</v>
      </c>
      <c r="T76">
        <v>0.37058127817893149</v>
      </c>
      <c r="U76">
        <v>0.30184516303019088</v>
      </c>
      <c r="V76">
        <v>0.3028096211573334</v>
      </c>
      <c r="Y76" t="s">
        <v>87</v>
      </c>
      <c r="Z76">
        <v>99642</v>
      </c>
      <c r="AA76">
        <v>58</v>
      </c>
      <c r="AB76">
        <v>5.8208386021958623E-2</v>
      </c>
      <c r="AC76">
        <v>7.8378378378378386</v>
      </c>
      <c r="AD76">
        <v>3.8115205690269348E-2</v>
      </c>
      <c r="AE76">
        <v>0.85737608532597809</v>
      </c>
      <c r="AF76">
        <v>0.35472066148355708</v>
      </c>
      <c r="AG76">
        <v>0.22098364488891689</v>
      </c>
      <c r="AH76">
        <v>0.30049506132087711</v>
      </c>
    </row>
    <row r="77" spans="1:34" x14ac:dyDescent="0.35">
      <c r="A77" t="s">
        <v>88</v>
      </c>
      <c r="B77">
        <v>711746</v>
      </c>
      <c r="C77">
        <v>820</v>
      </c>
      <c r="D77">
        <v>0.11520963939382869</v>
      </c>
      <c r="E77">
        <v>11.537920360208251</v>
      </c>
      <c r="F77">
        <v>3.8115205690269348E-2</v>
      </c>
      <c r="G77">
        <v>0.85791189474016438</v>
      </c>
      <c r="H77">
        <v>0.37820310856181261</v>
      </c>
      <c r="I77">
        <v>0.26977343360143241</v>
      </c>
      <c r="J77">
        <v>0.30271559839823142</v>
      </c>
      <c r="M77" t="s">
        <v>88</v>
      </c>
      <c r="N77">
        <v>133262</v>
      </c>
      <c r="O77">
        <v>365</v>
      </c>
      <c r="P77">
        <v>0.27389653464603558</v>
      </c>
      <c r="Q77">
        <v>13.02640970735189</v>
      </c>
      <c r="R77">
        <v>3.8115205690269348E-2</v>
      </c>
      <c r="S77">
        <v>0.85736976529017872</v>
      </c>
      <c r="T77">
        <v>0.38551925003796839</v>
      </c>
      <c r="U77">
        <v>0.37014073432897571</v>
      </c>
      <c r="V77">
        <v>0.30087025110190962</v>
      </c>
      <c r="Y77" t="s">
        <v>88</v>
      </c>
      <c r="Z77">
        <v>69070</v>
      </c>
      <c r="AA77">
        <v>59</v>
      </c>
      <c r="AB77">
        <v>8.5420587809468651E-2</v>
      </c>
      <c r="AC77">
        <v>7.9729729729729737</v>
      </c>
      <c r="AD77">
        <v>3.8115205690269348E-2</v>
      </c>
      <c r="AE77">
        <v>0.85681134447485652</v>
      </c>
      <c r="AF77">
        <v>0.39442244215859651</v>
      </c>
      <c r="AG77">
        <v>0.51429902678049499</v>
      </c>
      <c r="AH77">
        <v>0.29711063897997048</v>
      </c>
    </row>
    <row r="78" spans="1:34" x14ac:dyDescent="0.35">
      <c r="A78" t="s">
        <v>89</v>
      </c>
      <c r="B78">
        <v>1412241</v>
      </c>
      <c r="C78">
        <v>1729</v>
      </c>
      <c r="D78">
        <v>0.1224295286710979</v>
      </c>
      <c r="E78">
        <v>24.328127198536649</v>
      </c>
      <c r="F78">
        <v>3.8115205690269348E-2</v>
      </c>
      <c r="G78">
        <v>0.85815351609045165</v>
      </c>
      <c r="H78">
        <v>0.3559535867001708</v>
      </c>
      <c r="I78">
        <v>0.139240420467312</v>
      </c>
      <c r="J78">
        <v>0.30858367281400162</v>
      </c>
      <c r="M78" t="s">
        <v>89</v>
      </c>
      <c r="N78">
        <v>236302</v>
      </c>
      <c r="O78">
        <v>507</v>
      </c>
      <c r="P78">
        <v>0.21455594958993149</v>
      </c>
      <c r="Q78">
        <v>18.094218415417561</v>
      </c>
      <c r="R78">
        <v>3.8115205690269348E-2</v>
      </c>
      <c r="S78">
        <v>0.85793450614130029</v>
      </c>
      <c r="T78">
        <v>0.35445904250735932</v>
      </c>
      <c r="U78">
        <v>0.12278172168945289</v>
      </c>
      <c r="V78">
        <v>0.30658789083005988</v>
      </c>
      <c r="Y78" t="s">
        <v>89</v>
      </c>
      <c r="Z78">
        <v>111653</v>
      </c>
      <c r="AA78">
        <v>91</v>
      </c>
      <c r="AB78">
        <v>8.1502512247767639E-2</v>
      </c>
      <c r="AC78">
        <v>12.2972972972973</v>
      </c>
      <c r="AD78">
        <v>3.8115205690269348E-2</v>
      </c>
      <c r="AE78">
        <v>0.85737608532597809</v>
      </c>
      <c r="AF78">
        <v>0.36511586997808182</v>
      </c>
      <c r="AG78">
        <v>0.1948116489166386</v>
      </c>
      <c r="AH78">
        <v>0.30548561152485759</v>
      </c>
    </row>
    <row r="79" spans="1:34" x14ac:dyDescent="0.35">
      <c r="A79" t="s">
        <v>90</v>
      </c>
      <c r="B79">
        <v>525335</v>
      </c>
      <c r="C79">
        <v>1099</v>
      </c>
      <c r="D79">
        <v>0.20919984390912469</v>
      </c>
      <c r="E79">
        <v>15.463627409596169</v>
      </c>
      <c r="F79">
        <v>3.8115205690269348E-2</v>
      </c>
      <c r="G79">
        <v>0.85815351609045165</v>
      </c>
      <c r="H79">
        <v>0.40216277040311132</v>
      </c>
      <c r="I79">
        <v>0.2304414557770903</v>
      </c>
      <c r="J79">
        <v>0.32980259223107172</v>
      </c>
      <c r="M79" t="s">
        <v>90</v>
      </c>
      <c r="N79">
        <v>252759</v>
      </c>
      <c r="O79">
        <v>364</v>
      </c>
      <c r="P79">
        <v>0.14401069793756111</v>
      </c>
      <c r="Q79">
        <v>12.990720913633121</v>
      </c>
      <c r="R79">
        <v>3.8115205690269348E-2</v>
      </c>
      <c r="S79">
        <v>0.85793450614130029</v>
      </c>
      <c r="T79">
        <v>0.3568085643818929</v>
      </c>
      <c r="U79">
        <v>0.1082891365247155</v>
      </c>
      <c r="V79">
        <v>0.31956013650240861</v>
      </c>
      <c r="Y79" t="s">
        <v>90</v>
      </c>
      <c r="Z79">
        <v>151299</v>
      </c>
      <c r="AA79">
        <v>160</v>
      </c>
      <c r="AB79">
        <v>0.1057508641828432</v>
      </c>
      <c r="AC79">
        <v>21.621621621621621</v>
      </c>
      <c r="AD79">
        <v>3.8115205690269348E-2</v>
      </c>
      <c r="AE79">
        <v>0.85737608532597809</v>
      </c>
      <c r="AF79">
        <v>0.36843185826373859</v>
      </c>
      <c r="AG79">
        <v>0.1283820105630484</v>
      </c>
      <c r="AH79">
        <v>0.31861444288719032</v>
      </c>
    </row>
    <row r="81" spans="1:35" x14ac:dyDescent="0.35">
      <c r="A81" t="s">
        <v>92</v>
      </c>
    </row>
    <row r="82" spans="1:35" x14ac:dyDescent="0.35">
      <c r="A82" t="s">
        <v>50</v>
      </c>
      <c r="M82" t="s">
        <v>51</v>
      </c>
      <c r="Y82" t="s">
        <v>52</v>
      </c>
    </row>
    <row r="83" spans="1:35" s="15" customFormat="1" x14ac:dyDescent="0.35">
      <c r="A83" s="17" t="s">
        <v>83</v>
      </c>
      <c r="B83" s="17" t="s">
        <v>3</v>
      </c>
      <c r="C83" s="17" t="s">
        <v>4</v>
      </c>
      <c r="D83" s="17" t="s">
        <v>5</v>
      </c>
      <c r="E83" s="17" t="s">
        <v>6</v>
      </c>
      <c r="F83" s="17" t="s">
        <v>13</v>
      </c>
      <c r="G83" s="17" t="s">
        <v>8</v>
      </c>
      <c r="H83" s="17" t="s">
        <v>9</v>
      </c>
      <c r="I83" s="17" t="s">
        <v>10</v>
      </c>
      <c r="J83" s="17" t="s">
        <v>11</v>
      </c>
      <c r="M83" s="17" t="s">
        <v>83</v>
      </c>
      <c r="N83" s="17" t="s">
        <v>3</v>
      </c>
      <c r="O83" s="17" t="s">
        <v>4</v>
      </c>
      <c r="P83" s="17" t="s">
        <v>5</v>
      </c>
      <c r="Q83" s="17" t="s">
        <v>6</v>
      </c>
      <c r="R83" s="17" t="s">
        <v>13</v>
      </c>
      <c r="S83" s="17" t="s">
        <v>8</v>
      </c>
      <c r="T83" s="17" t="s">
        <v>9</v>
      </c>
      <c r="U83" s="17" t="s">
        <v>10</v>
      </c>
      <c r="V83" s="17" t="s">
        <v>11</v>
      </c>
      <c r="Y83" s="17" t="s">
        <v>83</v>
      </c>
      <c r="Z83" s="17" t="s">
        <v>3</v>
      </c>
      <c r="AA83" s="17" t="s">
        <v>4</v>
      </c>
      <c r="AB83" s="17" t="s">
        <v>5</v>
      </c>
      <c r="AC83" s="17" t="s">
        <v>6</v>
      </c>
      <c r="AD83" s="17" t="s">
        <v>13</v>
      </c>
      <c r="AE83" s="17" t="s">
        <v>8</v>
      </c>
      <c r="AF83" s="17" t="s">
        <v>9</v>
      </c>
      <c r="AG83" s="17" t="s">
        <v>10</v>
      </c>
      <c r="AH83" s="17" t="s">
        <v>11</v>
      </c>
    </row>
    <row r="84" spans="1:35" x14ac:dyDescent="0.35">
      <c r="A84" t="s">
        <v>84</v>
      </c>
      <c r="B84">
        <v>359838</v>
      </c>
      <c r="C84">
        <v>781</v>
      </c>
      <c r="D84">
        <v>0.21704211339547241</v>
      </c>
      <c r="E84">
        <v>55.155367231638422</v>
      </c>
      <c r="F84">
        <v>4.1707075806061943E-2</v>
      </c>
      <c r="G84">
        <v>0.85639247548129227</v>
      </c>
      <c r="H84">
        <v>0.34722173576295567</v>
      </c>
      <c r="I84">
        <v>0.19900173004430949</v>
      </c>
      <c r="J84">
        <v>0.27884506302753398</v>
      </c>
      <c r="M84" t="s">
        <v>84</v>
      </c>
      <c r="N84">
        <v>38369</v>
      </c>
      <c r="O84">
        <v>155</v>
      </c>
      <c r="P84">
        <v>0.40397195652740497</v>
      </c>
      <c r="Q84">
        <v>74.879227053140099</v>
      </c>
      <c r="R84">
        <v>4.1707075806061943E-2</v>
      </c>
      <c r="S84">
        <v>0.85560872468101934</v>
      </c>
      <c r="T84">
        <v>0.46267791381016821</v>
      </c>
      <c r="U84">
        <v>0.50294859147744875</v>
      </c>
      <c r="V84">
        <v>0.26679585793686561</v>
      </c>
      <c r="Y84" t="s">
        <v>84</v>
      </c>
      <c r="Z84">
        <v>20871</v>
      </c>
      <c r="AA84">
        <v>73</v>
      </c>
      <c r="AB84">
        <v>0.34976762014278179</v>
      </c>
      <c r="AC84">
        <v>78.494623655913969</v>
      </c>
      <c r="AD84">
        <v>4.1707075806061943E-2</v>
      </c>
      <c r="AE84">
        <v>0.85572294213552402</v>
      </c>
      <c r="AF84">
        <v>0.4747368240215441</v>
      </c>
      <c r="AG84">
        <v>0.52143500417506494</v>
      </c>
      <c r="AH84">
        <v>0.25680001717611289</v>
      </c>
    </row>
    <row r="85" spans="1:35" x14ac:dyDescent="0.35">
      <c r="A85" t="s">
        <v>85</v>
      </c>
      <c r="B85">
        <v>925423</v>
      </c>
      <c r="C85">
        <v>346</v>
      </c>
      <c r="D85">
        <v>3.7388307833282723E-2</v>
      </c>
      <c r="E85">
        <v>24.435028248587571</v>
      </c>
      <c r="F85">
        <v>4.1707075806061943E-2</v>
      </c>
      <c r="G85">
        <v>0.85639247548129227</v>
      </c>
      <c r="H85">
        <v>0.1498076825298634</v>
      </c>
      <c r="I85">
        <v>6.6872434540381456E-2</v>
      </c>
      <c r="J85">
        <v>0.1912472518500441</v>
      </c>
      <c r="M85" t="s">
        <v>85</v>
      </c>
      <c r="N85">
        <v>154473</v>
      </c>
      <c r="O85">
        <v>22</v>
      </c>
      <c r="P85">
        <v>1.424197108879869E-2</v>
      </c>
      <c r="Q85">
        <v>10.6280193236715</v>
      </c>
      <c r="R85">
        <v>4.1707075806061943E-2</v>
      </c>
      <c r="S85">
        <v>0.85639247548129227</v>
      </c>
      <c r="T85">
        <v>9.2431439155442524E-2</v>
      </c>
      <c r="U85">
        <v>6.5124632995022996E-2</v>
      </c>
      <c r="V85">
        <v>0.1171531343730607</v>
      </c>
      <c r="Y85" t="s">
        <v>85</v>
      </c>
      <c r="Z85">
        <v>70334</v>
      </c>
      <c r="AA85">
        <v>9</v>
      </c>
      <c r="AB85">
        <v>1.2796087240879229E-2</v>
      </c>
      <c r="AC85">
        <v>9.67741935483871</v>
      </c>
      <c r="AD85">
        <v>4.1707075806061943E-2</v>
      </c>
      <c r="AE85">
        <v>0.85583405466597018</v>
      </c>
      <c r="AF85">
        <v>8.8520712681205108E-2</v>
      </c>
      <c r="AG85">
        <v>6.5124632995022996E-2</v>
      </c>
      <c r="AH85">
        <v>0.1086840852112112</v>
      </c>
    </row>
    <row r="86" spans="1:35" x14ac:dyDescent="0.35">
      <c r="A86" t="s">
        <v>86</v>
      </c>
      <c r="B86">
        <v>383981</v>
      </c>
      <c r="C86">
        <v>65</v>
      </c>
      <c r="D86">
        <v>1.69279209127535E-2</v>
      </c>
      <c r="E86">
        <v>4.5903954802259888</v>
      </c>
      <c r="F86">
        <v>4.1707075806061943E-2</v>
      </c>
      <c r="G86">
        <v>0.85540957710748411</v>
      </c>
      <c r="H86">
        <v>0.1084061642565516</v>
      </c>
      <c r="I86">
        <v>6.2614289416514493E-2</v>
      </c>
      <c r="J86">
        <v>0.1468717144238697</v>
      </c>
      <c r="M86" t="s">
        <v>86</v>
      </c>
      <c r="N86">
        <v>104017</v>
      </c>
      <c r="O86">
        <v>17</v>
      </c>
      <c r="P86">
        <v>1.6343482315390751E-2</v>
      </c>
      <c r="Q86">
        <v>8.2125603864734309</v>
      </c>
      <c r="R86">
        <v>4.2853617017616127E-2</v>
      </c>
      <c r="S86">
        <v>0.85421055539470669</v>
      </c>
      <c r="T86">
        <v>8.2163835361265911E-2</v>
      </c>
      <c r="U86">
        <v>6.2614289416514493E-2</v>
      </c>
      <c r="V86">
        <v>9.4676562752100915E-2</v>
      </c>
      <c r="Y86" t="s">
        <v>86</v>
      </c>
      <c r="Z86">
        <v>58891</v>
      </c>
      <c r="AA86">
        <v>4</v>
      </c>
      <c r="AB86">
        <v>6.7922093358917324E-3</v>
      </c>
      <c r="AC86">
        <v>4.3010752688172049</v>
      </c>
      <c r="AD86">
        <v>4.2853617017616127E-2</v>
      </c>
      <c r="AE86">
        <v>0.85178780302164692</v>
      </c>
      <c r="AF86">
        <v>7.9279758815885948E-2</v>
      </c>
      <c r="AG86">
        <v>6.2246053225491982E-2</v>
      </c>
      <c r="AH86">
        <v>8.722779441071675E-2</v>
      </c>
    </row>
    <row r="87" spans="1:35" x14ac:dyDescent="0.35">
      <c r="A87" t="s">
        <v>87</v>
      </c>
      <c r="B87">
        <v>868331</v>
      </c>
      <c r="C87">
        <v>133</v>
      </c>
      <c r="D87">
        <v>1.5316739814655931E-2</v>
      </c>
      <c r="E87">
        <v>9.3926553672316384</v>
      </c>
      <c r="F87">
        <v>4.0167212422740288E-2</v>
      </c>
      <c r="G87">
        <v>0.856150854131005</v>
      </c>
      <c r="H87">
        <v>9.4289203609676214E-2</v>
      </c>
      <c r="I87">
        <v>5.7962337981988313E-2</v>
      </c>
      <c r="J87">
        <v>0.12597460501095339</v>
      </c>
      <c r="M87" t="s">
        <v>87</v>
      </c>
      <c r="N87">
        <v>180402</v>
      </c>
      <c r="O87">
        <v>8</v>
      </c>
      <c r="P87">
        <v>4.4345406370217624E-3</v>
      </c>
      <c r="Q87">
        <v>3.8647342995169081</v>
      </c>
      <c r="R87">
        <v>4.0167212422740288E-2</v>
      </c>
      <c r="S87">
        <v>0.85034761223985122</v>
      </c>
      <c r="T87">
        <v>6.9553028646778411E-2</v>
      </c>
      <c r="U87">
        <v>5.7962337981988313E-2</v>
      </c>
      <c r="V87">
        <v>6.4599378728919826E-2</v>
      </c>
      <c r="Y87" t="s">
        <v>87</v>
      </c>
      <c r="Z87">
        <v>82736</v>
      </c>
      <c r="AA87">
        <v>3</v>
      </c>
      <c r="AB87">
        <v>3.6259911042351581E-3</v>
      </c>
      <c r="AC87">
        <v>3.225806451612903</v>
      </c>
      <c r="AD87">
        <v>4.203585529986497E-2</v>
      </c>
      <c r="AE87">
        <v>0.84782158490128545</v>
      </c>
      <c r="AF87">
        <v>6.8289820938693735E-2</v>
      </c>
      <c r="AG87">
        <v>5.7962337981988313E-2</v>
      </c>
      <c r="AH87">
        <v>6.0501150317674363E-2</v>
      </c>
    </row>
    <row r="88" spans="1:35" x14ac:dyDescent="0.35">
      <c r="A88" t="s">
        <v>88</v>
      </c>
      <c r="B88">
        <v>526924</v>
      </c>
      <c r="C88">
        <v>59</v>
      </c>
      <c r="D88">
        <v>1.119706067668203E-2</v>
      </c>
      <c r="E88">
        <v>4.1666666666666661</v>
      </c>
      <c r="F88">
        <v>3.9838432928937247E-2</v>
      </c>
      <c r="G88">
        <v>0.85639247548129227</v>
      </c>
      <c r="H88">
        <v>8.9058463152626027E-2</v>
      </c>
      <c r="I88">
        <v>5.7962337981988313E-2</v>
      </c>
      <c r="J88">
        <v>0.1144263146439161</v>
      </c>
      <c r="M88" t="s">
        <v>88</v>
      </c>
      <c r="N88">
        <v>154339</v>
      </c>
      <c r="O88">
        <v>2</v>
      </c>
      <c r="P88">
        <v>1.2958487485340709E-3</v>
      </c>
      <c r="Q88">
        <v>0.96618357487922701</v>
      </c>
      <c r="R88">
        <v>4.0167212422740288E-2</v>
      </c>
      <c r="S88">
        <v>0.85483896994016439</v>
      </c>
      <c r="T88">
        <v>6.8559359082099494E-2</v>
      </c>
      <c r="U88">
        <v>5.7962337981988313E-2</v>
      </c>
      <c r="V88">
        <v>5.6536432979983391E-2</v>
      </c>
      <c r="Y88" t="s">
        <v>88</v>
      </c>
      <c r="Z88">
        <v>81702</v>
      </c>
      <c r="AA88">
        <v>0</v>
      </c>
      <c r="AB88">
        <v>0</v>
      </c>
      <c r="AC88">
        <v>0</v>
      </c>
      <c r="AD88">
        <v>4.0167212422740288E-2</v>
      </c>
      <c r="AE88">
        <v>0.85583405466597018</v>
      </c>
      <c r="AF88">
        <v>6.7472391761031009E-2</v>
      </c>
      <c r="AG88">
        <v>5.7962337981988313E-2</v>
      </c>
      <c r="AH88">
        <v>5.1712519119005387E-2</v>
      </c>
    </row>
    <row r="89" spans="1:35" x14ac:dyDescent="0.35">
      <c r="A89" t="s">
        <v>89</v>
      </c>
      <c r="B89">
        <v>329118</v>
      </c>
      <c r="C89">
        <v>30</v>
      </c>
      <c r="D89">
        <v>9.1152717262501601E-3</v>
      </c>
      <c r="E89">
        <v>2.1186440677966099</v>
      </c>
      <c r="F89">
        <v>3.9838432928937247E-2</v>
      </c>
      <c r="G89">
        <v>0.85639247548129227</v>
      </c>
      <c r="H89">
        <v>0.1004255656243795</v>
      </c>
      <c r="I89">
        <v>5.6815796770434121E-2</v>
      </c>
      <c r="J89">
        <v>0.13685230706705809</v>
      </c>
      <c r="M89" t="s">
        <v>89</v>
      </c>
      <c r="N89">
        <v>71766</v>
      </c>
      <c r="O89">
        <v>1</v>
      </c>
      <c r="P89">
        <v>1.3934174957500769E-3</v>
      </c>
      <c r="Q89">
        <v>0.48309178743961351</v>
      </c>
      <c r="R89">
        <v>3.9838432928937247E-2</v>
      </c>
      <c r="S89">
        <v>0.85639247548129227</v>
      </c>
      <c r="T89">
        <v>7.3432302885594269E-2</v>
      </c>
      <c r="U89">
        <v>5.6815796770434121E-2</v>
      </c>
      <c r="V89">
        <v>7.2633418501695496E-2</v>
      </c>
      <c r="Y89" t="s">
        <v>89</v>
      </c>
      <c r="Z89">
        <v>34380</v>
      </c>
      <c r="AA89">
        <v>3</v>
      </c>
      <c r="AB89">
        <v>8.7260034904013961E-3</v>
      </c>
      <c r="AC89">
        <v>3.225806451612903</v>
      </c>
      <c r="AD89">
        <v>3.9838432928937247E-2</v>
      </c>
      <c r="AE89">
        <v>0.85427222594033581</v>
      </c>
      <c r="AF89">
        <v>7.2445434527897049E-2</v>
      </c>
      <c r="AG89">
        <v>5.6815796770434121E-2</v>
      </c>
      <c r="AH89">
        <v>6.9133777368703811E-2</v>
      </c>
    </row>
    <row r="90" spans="1:35" x14ac:dyDescent="0.35">
      <c r="A90" t="s">
        <v>90</v>
      </c>
      <c r="B90">
        <v>84270</v>
      </c>
      <c r="C90">
        <v>2</v>
      </c>
      <c r="D90">
        <v>2.3733238400379729E-3</v>
      </c>
      <c r="E90">
        <v>0.14124293785310729</v>
      </c>
      <c r="F90">
        <v>3.9838432928937247E-2</v>
      </c>
      <c r="G90">
        <v>0.85639247548129227</v>
      </c>
      <c r="H90">
        <v>0.10985104631999509</v>
      </c>
      <c r="I90">
        <v>5.7962337981988313E-2</v>
      </c>
      <c r="J90">
        <v>0.15567689770613871</v>
      </c>
      <c r="M90" t="s">
        <v>90</v>
      </c>
      <c r="N90">
        <v>43741</v>
      </c>
      <c r="O90">
        <v>2</v>
      </c>
      <c r="P90">
        <v>4.5723691730870358E-3</v>
      </c>
      <c r="Q90">
        <v>0.96618357487922701</v>
      </c>
      <c r="R90">
        <v>3.9838432928937247E-2</v>
      </c>
      <c r="S90">
        <v>0.85639247548129227</v>
      </c>
      <c r="T90">
        <v>9.2146295097821462E-2</v>
      </c>
      <c r="U90">
        <v>5.6815796770434121E-2</v>
      </c>
      <c r="V90">
        <v>0.1220578545180012</v>
      </c>
      <c r="Y90" t="s">
        <v>90</v>
      </c>
      <c r="Z90">
        <v>25475</v>
      </c>
      <c r="AA90">
        <v>1</v>
      </c>
      <c r="AB90">
        <v>3.9254170755642784E-3</v>
      </c>
      <c r="AC90">
        <v>1.075268817204301</v>
      </c>
      <c r="AD90">
        <v>3.9838432928937247E-2</v>
      </c>
      <c r="AE90">
        <v>0.85583405466597018</v>
      </c>
      <c r="AF90">
        <v>8.9055958088736065E-2</v>
      </c>
      <c r="AG90">
        <v>5.6815796770434121E-2</v>
      </c>
      <c r="AH90">
        <v>0.1152069676327673</v>
      </c>
    </row>
    <row r="91" spans="1:35" s="13" customFormat="1" x14ac:dyDescent="0.35"/>
    <row r="92" spans="1:35" s="13" customFormat="1" x14ac:dyDescent="0.35"/>
    <row r="93" spans="1:35" ht="43.5" x14ac:dyDescent="0.35">
      <c r="A93" t="s">
        <v>49</v>
      </c>
      <c r="B93" s="26" t="s">
        <v>93</v>
      </c>
    </row>
    <row r="94" spans="1:35" x14ac:dyDescent="0.35">
      <c r="A94" t="s">
        <v>50</v>
      </c>
      <c r="B94" t="s">
        <v>74</v>
      </c>
      <c r="M94" t="s">
        <v>51</v>
      </c>
      <c r="Y94" t="s">
        <v>52</v>
      </c>
    </row>
    <row r="95" spans="1:35" s="15" customFormat="1" x14ac:dyDescent="0.35">
      <c r="A95" s="16" t="s">
        <v>53</v>
      </c>
      <c r="B95" s="16" t="s">
        <v>3</v>
      </c>
      <c r="C95" s="16" t="s">
        <v>4</v>
      </c>
      <c r="D95" s="16" t="s">
        <v>5</v>
      </c>
      <c r="E95" s="16" t="s">
        <v>6</v>
      </c>
      <c r="F95" s="16" t="s">
        <v>13</v>
      </c>
      <c r="G95" s="16" t="s">
        <v>8</v>
      </c>
      <c r="H95" s="16" t="s">
        <v>9</v>
      </c>
      <c r="I95" s="16" t="s">
        <v>10</v>
      </c>
      <c r="J95" s="16" t="s">
        <v>11</v>
      </c>
      <c r="K95" s="16" t="s">
        <v>54</v>
      </c>
      <c r="M95" s="16" t="s">
        <v>53</v>
      </c>
      <c r="N95" s="16" t="s">
        <v>3</v>
      </c>
      <c r="O95" s="16" t="s">
        <v>4</v>
      </c>
      <c r="P95" s="16" t="s">
        <v>5</v>
      </c>
      <c r="Q95" s="16" t="s">
        <v>6</v>
      </c>
      <c r="R95" s="16" t="s">
        <v>13</v>
      </c>
      <c r="S95" s="16" t="s">
        <v>8</v>
      </c>
      <c r="T95" s="16" t="s">
        <v>9</v>
      </c>
      <c r="U95" s="16" t="s">
        <v>10</v>
      </c>
      <c r="V95" s="16" t="s">
        <v>11</v>
      </c>
      <c r="W95" s="16" t="s">
        <v>54</v>
      </c>
      <c r="Y95" s="16" t="s">
        <v>53</v>
      </c>
      <c r="Z95" s="16" t="s">
        <v>3</v>
      </c>
      <c r="AA95" s="16" t="s">
        <v>4</v>
      </c>
      <c r="AB95" s="16" t="s">
        <v>5</v>
      </c>
      <c r="AC95" s="16" t="s">
        <v>6</v>
      </c>
      <c r="AD95" s="16" t="s">
        <v>13</v>
      </c>
      <c r="AE95" s="16" t="s">
        <v>8</v>
      </c>
      <c r="AF95" s="16" t="s">
        <v>9</v>
      </c>
      <c r="AG95" s="16" t="s">
        <v>10</v>
      </c>
      <c r="AH95" s="16" t="s">
        <v>11</v>
      </c>
      <c r="AI95" s="16" t="s">
        <v>54</v>
      </c>
    </row>
    <row r="96" spans="1:35" x14ac:dyDescent="0.35">
      <c r="A96">
        <v>1</v>
      </c>
      <c r="B96">
        <v>846329</v>
      </c>
      <c r="C96">
        <v>5288</v>
      </c>
      <c r="D96">
        <v>0.62481611760910938</v>
      </c>
      <c r="E96">
        <v>62.043881262466272</v>
      </c>
      <c r="F96">
        <v>0.837108314037323</v>
      </c>
      <c r="G96">
        <v>0.99008560180664063</v>
      </c>
      <c r="H96">
        <v>0.89305752515792847</v>
      </c>
      <c r="I96">
        <v>0.89057129621505737</v>
      </c>
      <c r="J96">
        <v>3.4986123442649841E-2</v>
      </c>
      <c r="K96">
        <f>Table40[[#This Row],[Target Rate]]/'[1]Data Preprocessing'!$C$20</f>
        <v>6.2043859269642692</v>
      </c>
      <c r="M96">
        <v>1</v>
      </c>
      <c r="N96">
        <v>179456</v>
      </c>
      <c r="O96">
        <v>2168</v>
      </c>
      <c r="P96">
        <v>1.2080955777460769</v>
      </c>
      <c r="Q96">
        <v>72.050515121302766</v>
      </c>
      <c r="R96">
        <v>0.83710867166519165</v>
      </c>
      <c r="S96">
        <v>0.99092227220535278</v>
      </c>
      <c r="T96">
        <v>0.89172518253326416</v>
      </c>
      <c r="U96">
        <v>0.88878560066223145</v>
      </c>
      <c r="V96">
        <v>3.4501299262046807E-2</v>
      </c>
      <c r="W96">
        <f>Table41[[#This Row],[Target Rate]]/'[1]Data Preprocessing'!$F$20</f>
        <v>7.8636462817918087</v>
      </c>
      <c r="Y96">
        <v>1</v>
      </c>
      <c r="Z96">
        <v>81245</v>
      </c>
      <c r="AA96">
        <v>382</v>
      </c>
      <c r="AB96">
        <v>0.47018278047879869</v>
      </c>
      <c r="AC96">
        <v>45.858343337334937</v>
      </c>
      <c r="AD96">
        <v>0.83710849285125732</v>
      </c>
      <c r="AE96">
        <v>0.98830622434616089</v>
      </c>
      <c r="AF96">
        <v>0.88726586103439331</v>
      </c>
      <c r="AG96">
        <v>0.88347595930099487</v>
      </c>
      <c r="AH96">
        <v>3.2705135643482208E-2</v>
      </c>
      <c r="AI96">
        <f>Table42[[#This Row],[Target Rate]]/Table42[[#Totals],[Target Rate]]</f>
        <v>5.7282148012137348</v>
      </c>
    </row>
    <row r="97" spans="1:35" x14ac:dyDescent="0.35">
      <c r="A97">
        <v>2</v>
      </c>
      <c r="B97">
        <v>846329</v>
      </c>
      <c r="C97">
        <v>1854</v>
      </c>
      <c r="D97">
        <v>0.21906374471393511</v>
      </c>
      <c r="E97">
        <v>21.75290390707497</v>
      </c>
      <c r="F97">
        <v>0.72378683090209961</v>
      </c>
      <c r="G97">
        <v>0.837108314037323</v>
      </c>
      <c r="H97">
        <v>0.78357565402984619</v>
      </c>
      <c r="I97">
        <v>0.78507715463638306</v>
      </c>
      <c r="J97">
        <v>3.2170515507459641E-2</v>
      </c>
      <c r="K97">
        <f>Table40[[#This Row],[Target Rate]]/'[1]Data Preprocessing'!$C$20</f>
        <v>2.1752896196277902</v>
      </c>
      <c r="M97">
        <v>2</v>
      </c>
      <c r="N97">
        <v>197800</v>
      </c>
      <c r="O97">
        <v>526</v>
      </c>
      <c r="P97">
        <v>0.26592517694641049</v>
      </c>
      <c r="Q97">
        <v>17.480890661349289</v>
      </c>
      <c r="R97">
        <v>0.72378683090209961</v>
      </c>
      <c r="S97">
        <v>0.83710670471191406</v>
      </c>
      <c r="T97">
        <v>0.7827223539352417</v>
      </c>
      <c r="U97">
        <v>0.7843015193939209</v>
      </c>
      <c r="V97">
        <v>3.2183658331632607E-2</v>
      </c>
      <c r="W97">
        <f>Table41[[#This Row],[Target Rate]]/'[1]Data Preprocessing'!$F$20</f>
        <v>1.7309404714740173</v>
      </c>
      <c r="Y97">
        <v>2</v>
      </c>
      <c r="Z97">
        <v>106284</v>
      </c>
      <c r="AA97">
        <v>235</v>
      </c>
      <c r="AB97">
        <v>0.22110571675887239</v>
      </c>
      <c r="AC97">
        <v>28.21128451380552</v>
      </c>
      <c r="AD97">
        <v>0.72378790378570557</v>
      </c>
      <c r="AE97">
        <v>0.83710825443267822</v>
      </c>
      <c r="AF97">
        <v>0.78150343894958496</v>
      </c>
      <c r="AG97">
        <v>0.78202909231185913</v>
      </c>
      <c r="AH97">
        <v>3.2155361026525497E-2</v>
      </c>
      <c r="AI97">
        <f>Table42[[#This Row],[Target Rate]]/Table42[[#Totals],[Target Rate]]</f>
        <v>2.6937205953850429</v>
      </c>
    </row>
    <row r="98" spans="1:35" x14ac:dyDescent="0.35">
      <c r="A98">
        <v>3</v>
      </c>
      <c r="B98">
        <v>846329</v>
      </c>
      <c r="C98">
        <v>874</v>
      </c>
      <c r="D98">
        <v>0.1032695322977235</v>
      </c>
      <c r="E98">
        <v>10.25460518596738</v>
      </c>
      <c r="F98">
        <v>0.54994142055511475</v>
      </c>
      <c r="G98">
        <v>0.72378677129745483</v>
      </c>
      <c r="H98">
        <v>0.64426314830780029</v>
      </c>
      <c r="I98">
        <v>0.64537262916564941</v>
      </c>
      <c r="J98">
        <v>4.8973701894283288E-2</v>
      </c>
      <c r="K98">
        <f>Table40[[#This Row],[Target Rate]]/'[1]Data Preprocessing'!$C$20</f>
        <v>1.0254601550996167</v>
      </c>
      <c r="M98">
        <v>3</v>
      </c>
      <c r="N98">
        <v>208424</v>
      </c>
      <c r="O98">
        <v>202</v>
      </c>
      <c r="P98">
        <v>9.6917821364142329E-2</v>
      </c>
      <c r="Q98">
        <v>6.7131937520771023</v>
      </c>
      <c r="R98">
        <v>0.54994142055511475</v>
      </c>
      <c r="S98">
        <v>0.72378522157669067</v>
      </c>
      <c r="T98">
        <v>0.64571154117584229</v>
      </c>
      <c r="U98">
        <v>0.64800721406936646</v>
      </c>
      <c r="V98">
        <v>4.7503121197223663E-2</v>
      </c>
      <c r="W98">
        <f>Table41[[#This Row],[Target Rate]]/'[1]Data Preprocessing'!$F$20</f>
        <v>0.63085030658864638</v>
      </c>
      <c r="Y98">
        <v>3</v>
      </c>
      <c r="Z98">
        <v>119630</v>
      </c>
      <c r="AA98">
        <v>142</v>
      </c>
      <c r="AB98">
        <v>0.118699322912313</v>
      </c>
      <c r="AC98">
        <v>17.046818727491001</v>
      </c>
      <c r="AD98">
        <v>0.54994142055511475</v>
      </c>
      <c r="AE98">
        <v>0.72378629446029663</v>
      </c>
      <c r="AF98">
        <v>0.6454695463180542</v>
      </c>
      <c r="AG98">
        <v>0.64805418252944946</v>
      </c>
      <c r="AH98">
        <v>4.8586148768663413E-2</v>
      </c>
      <c r="AI98">
        <f>Table42[[#This Row],[Target Rate]]/Table42[[#Totals],[Target Rate]]</f>
        <v>1.4461082936894565</v>
      </c>
    </row>
    <row r="99" spans="1:35" x14ac:dyDescent="0.35">
      <c r="A99">
        <v>4</v>
      </c>
      <c r="B99">
        <v>846329</v>
      </c>
      <c r="C99">
        <v>313</v>
      </c>
      <c r="D99">
        <v>3.6983253557422713E-2</v>
      </c>
      <c r="E99">
        <v>3.67241581602722</v>
      </c>
      <c r="F99">
        <v>0.26093697547912598</v>
      </c>
      <c r="G99">
        <v>0.54994142055511475</v>
      </c>
      <c r="H99">
        <v>0.40383315086364752</v>
      </c>
      <c r="I99">
        <v>0.40383225679397577</v>
      </c>
      <c r="J99">
        <v>8.7588943541049957E-2</v>
      </c>
      <c r="K99">
        <f>Table40[[#This Row],[Target Rate]]/'[1]Data Preprocessing'!$C$20</f>
        <v>0.36724145142583525</v>
      </c>
      <c r="M99">
        <v>4</v>
      </c>
      <c r="N99">
        <v>171207</v>
      </c>
      <c r="O99">
        <v>77</v>
      </c>
      <c r="P99">
        <v>4.4974796591260871E-2</v>
      </c>
      <c r="Q99">
        <v>2.5589896975739448</v>
      </c>
      <c r="R99">
        <v>0.26093697547912598</v>
      </c>
      <c r="S99">
        <v>0.54993706941604614</v>
      </c>
      <c r="T99">
        <v>0.43192866444587708</v>
      </c>
      <c r="U99">
        <v>0.45533096790313721</v>
      </c>
      <c r="V99">
        <v>8.2582674920558929E-2</v>
      </c>
      <c r="W99">
        <f>Table41[[#This Row],[Target Rate]]/'[1]Data Preprocessing'!$F$20</f>
        <v>0.29274661583402184</v>
      </c>
      <c r="Y99">
        <v>4</v>
      </c>
      <c r="Z99">
        <v>99971</v>
      </c>
      <c r="AA99">
        <v>56</v>
      </c>
      <c r="AB99">
        <v>5.6016244710966182E-2</v>
      </c>
      <c r="AC99">
        <v>6.7226890756302522</v>
      </c>
      <c r="AD99">
        <v>0.26093697547912598</v>
      </c>
      <c r="AE99">
        <v>0.54993045330047607</v>
      </c>
      <c r="AF99">
        <v>0.43128508329391479</v>
      </c>
      <c r="AG99">
        <v>0.44805252552032471</v>
      </c>
      <c r="AH99">
        <v>8.1454671919345856E-2</v>
      </c>
      <c r="AI99">
        <f>Table42[[#This Row],[Target Rate]]/Table42[[#Totals],[Target Rate]]</f>
        <v>0.68244328670440479</v>
      </c>
    </row>
    <row r="100" spans="1:35" x14ac:dyDescent="0.35">
      <c r="A100">
        <v>5</v>
      </c>
      <c r="B100">
        <v>846329</v>
      </c>
      <c r="C100">
        <v>112</v>
      </c>
      <c r="D100">
        <v>1.323362427613848E-2</v>
      </c>
      <c r="E100">
        <v>1.3140912824122959</v>
      </c>
      <c r="F100">
        <v>0.12891486287116999</v>
      </c>
      <c r="G100">
        <v>0.26093697547912598</v>
      </c>
      <c r="H100">
        <v>0.18563610315322879</v>
      </c>
      <c r="I100">
        <v>0.1825395077466965</v>
      </c>
      <c r="J100">
        <v>4.0987811982631683E-2</v>
      </c>
      <c r="K100">
        <f>Table40[[#This Row],[Target Rate]]/'[1]Data Preprocessing'!$C$20</f>
        <v>0.13140908166036278</v>
      </c>
      <c r="M100">
        <v>5</v>
      </c>
      <c r="N100">
        <v>125430</v>
      </c>
      <c r="O100">
        <v>11</v>
      </c>
      <c r="P100">
        <v>8.7698317786813352E-3</v>
      </c>
      <c r="Q100">
        <v>0.36556995679627791</v>
      </c>
      <c r="R100">
        <v>0.12891486287116999</v>
      </c>
      <c r="S100">
        <v>0.26091548800468439</v>
      </c>
      <c r="T100">
        <v>0.17455027997493741</v>
      </c>
      <c r="U100">
        <v>0.16634491086006159</v>
      </c>
      <c r="V100">
        <v>3.8381073623895652E-2</v>
      </c>
      <c r="W100">
        <f>Table41[[#This Row],[Target Rate]]/'[1]Data Preprocessing'!$F$20</f>
        <v>5.7083939655693416E-2</v>
      </c>
      <c r="Y100">
        <v>5</v>
      </c>
      <c r="Z100">
        <v>59138</v>
      </c>
      <c r="AA100">
        <v>5</v>
      </c>
      <c r="AB100">
        <v>8.4548006358010075E-3</v>
      </c>
      <c r="AC100">
        <v>0.60024009603841544</v>
      </c>
      <c r="AD100">
        <v>0.12891486287116999</v>
      </c>
      <c r="AE100">
        <v>0.26092952489852911</v>
      </c>
      <c r="AF100">
        <v>0.17662091553211209</v>
      </c>
      <c r="AG100">
        <v>0.1708909869194031</v>
      </c>
      <c r="AH100">
        <v>3.721005842089653E-2</v>
      </c>
      <c r="AI100">
        <f>Table42[[#This Row],[Target Rate]]/Table42[[#Totals],[Target Rate]]</f>
        <v>0.10300444030295672</v>
      </c>
    </row>
    <row r="101" spans="1:35" x14ac:dyDescent="0.35">
      <c r="A101">
        <v>6</v>
      </c>
      <c r="B101">
        <v>846329</v>
      </c>
      <c r="C101">
        <v>48</v>
      </c>
      <c r="D101">
        <v>5.6715532612022041E-3</v>
      </c>
      <c r="E101">
        <v>0.56318197817669835</v>
      </c>
      <c r="F101">
        <v>8.6460471153259277E-2</v>
      </c>
      <c r="G101">
        <v>0.12891486287116999</v>
      </c>
      <c r="H101">
        <v>0.10702668130397799</v>
      </c>
      <c r="I101">
        <v>0.1061718240380287</v>
      </c>
      <c r="J101">
        <v>1.245614513754845E-2</v>
      </c>
      <c r="K101">
        <f>Table40[[#This Row],[Target Rate]]/'[1]Data Preprocessing'!$C$20</f>
        <v>5.6318177854441182E-2</v>
      </c>
      <c r="M101">
        <v>6</v>
      </c>
      <c r="N101">
        <v>184495</v>
      </c>
      <c r="O101">
        <v>7</v>
      </c>
      <c r="P101">
        <v>3.7941407626222931E-3</v>
      </c>
      <c r="Q101">
        <v>0.2326354270521768</v>
      </c>
      <c r="R101">
        <v>8.6460471153259277E-2</v>
      </c>
      <c r="S101">
        <v>0.12890969216823581</v>
      </c>
      <c r="T101">
        <v>0.10660729557275769</v>
      </c>
      <c r="U101">
        <v>0.10617852210998539</v>
      </c>
      <c r="V101">
        <v>1.253372617065907E-2</v>
      </c>
      <c r="W101">
        <f>Table41[[#This Row],[Target Rate]]/'[1]Data Preprocessing'!$F$20</f>
        <v>2.469654011667987E-2</v>
      </c>
      <c r="Y101">
        <v>6</v>
      </c>
      <c r="Z101">
        <v>84413</v>
      </c>
      <c r="AA101">
        <v>1</v>
      </c>
      <c r="AB101">
        <v>1.1846516531813819E-3</v>
      </c>
      <c r="AC101">
        <v>0.1200480192076831</v>
      </c>
      <c r="AD101">
        <v>8.6460471153259277E-2</v>
      </c>
      <c r="AE101">
        <v>0.12889820337295529</v>
      </c>
      <c r="AF101">
        <v>0.10556560754776</v>
      </c>
      <c r="AG101">
        <v>0.1050154939293861</v>
      </c>
      <c r="AH101">
        <v>1.2404789216816431E-2</v>
      </c>
      <c r="AI101">
        <f>Table42[[#This Row],[Target Rate]]/Table42[[#Totals],[Target Rate]]</f>
        <v>1.4432555626825855E-2</v>
      </c>
    </row>
    <row r="102" spans="1:35" x14ac:dyDescent="0.35">
      <c r="A102">
        <v>7</v>
      </c>
      <c r="B102">
        <v>846329</v>
      </c>
      <c r="C102">
        <v>28</v>
      </c>
      <c r="D102">
        <v>3.308406069034619E-3</v>
      </c>
      <c r="E102">
        <v>0.32852282060307397</v>
      </c>
      <c r="F102">
        <v>4.2187575250864029E-2</v>
      </c>
      <c r="G102">
        <v>8.6460471153259277E-2</v>
      </c>
      <c r="H102">
        <v>6.5114870667457581E-2</v>
      </c>
      <c r="I102">
        <v>6.5616808831691742E-2</v>
      </c>
      <c r="J102">
        <v>1.366736181080341E-2</v>
      </c>
      <c r="K102">
        <f>Table40[[#This Row],[Target Rate]]/'[1]Data Preprocessing'!$C$20</f>
        <v>3.2852270415090687E-2</v>
      </c>
      <c r="M102">
        <v>7</v>
      </c>
      <c r="N102">
        <v>221889</v>
      </c>
      <c r="O102">
        <v>6</v>
      </c>
      <c r="P102">
        <v>2.7040547300677359E-3</v>
      </c>
      <c r="Q102">
        <v>0.19940179461615151</v>
      </c>
      <c r="R102">
        <v>4.2187575250864029E-2</v>
      </c>
      <c r="S102">
        <v>8.6458288133144379E-2</v>
      </c>
      <c r="T102">
        <v>6.5211310982704163E-2</v>
      </c>
      <c r="U102">
        <v>6.7663960158824921E-2</v>
      </c>
      <c r="V102">
        <v>1.3715755194425579E-2</v>
      </c>
      <c r="W102">
        <f>Table41[[#This Row],[Target Rate]]/'[1]Data Preprocessing'!$F$20</f>
        <v>1.7601032828487028E-2</v>
      </c>
      <c r="Y102">
        <v>7</v>
      </c>
      <c r="Z102">
        <v>112632</v>
      </c>
      <c r="AA102">
        <v>6</v>
      </c>
      <c r="AB102">
        <v>5.3270828894097589E-3</v>
      </c>
      <c r="AC102">
        <v>0.72028811524609848</v>
      </c>
      <c r="AD102">
        <v>4.2187575250864029E-2</v>
      </c>
      <c r="AE102">
        <v>8.6458288133144379E-2</v>
      </c>
      <c r="AF102">
        <v>6.473202258348465E-2</v>
      </c>
      <c r="AG102">
        <v>6.7665033042430878E-2</v>
      </c>
      <c r="AH102">
        <v>1.3255175203084949E-2</v>
      </c>
      <c r="AI102">
        <f>Table42[[#This Row],[Target Rate]]/Table42[[#Totals],[Target Rate]]</f>
        <v>6.4899601434436974E-2</v>
      </c>
    </row>
    <row r="103" spans="1:35" x14ac:dyDescent="0.35">
      <c r="A103">
        <v>8</v>
      </c>
      <c r="B103">
        <v>846328</v>
      </c>
      <c r="C103">
        <v>6</v>
      </c>
      <c r="D103">
        <v>7.08944995320963E-4</v>
      </c>
      <c r="E103">
        <v>7.0397747272087294E-2</v>
      </c>
      <c r="F103">
        <v>1.6799243167042729E-2</v>
      </c>
      <c r="G103">
        <v>4.2187575250864029E-2</v>
      </c>
      <c r="H103">
        <v>2.831348218023777E-2</v>
      </c>
      <c r="I103">
        <v>2.7861427515745159E-2</v>
      </c>
      <c r="J103">
        <v>7.0266434922814369E-3</v>
      </c>
      <c r="K103">
        <f>Table40[[#This Row],[Target Rate]]/'[1]Data Preprocessing'!$C$20</f>
        <v>7.0397805498239666E-3</v>
      </c>
      <c r="M103">
        <v>8</v>
      </c>
      <c r="N103">
        <v>210469</v>
      </c>
      <c r="O103">
        <v>2</v>
      </c>
      <c r="P103">
        <v>9.5025870793323476E-4</v>
      </c>
      <c r="Q103">
        <v>6.6467264872050513E-2</v>
      </c>
      <c r="R103">
        <v>1.6799243167042729E-2</v>
      </c>
      <c r="S103">
        <v>4.2184159159660339E-2</v>
      </c>
      <c r="T103">
        <v>2.7211679145693779E-2</v>
      </c>
      <c r="U103">
        <v>2.724410779774189E-2</v>
      </c>
      <c r="V103">
        <v>6.6645415499806404E-3</v>
      </c>
      <c r="W103">
        <f>Table41[[#This Row],[Target Rate]]/'[1]Data Preprocessing'!$F$20</f>
        <v>6.185353620216689E-3</v>
      </c>
      <c r="Y103">
        <v>8</v>
      </c>
      <c r="Z103">
        <v>109561</v>
      </c>
      <c r="AA103">
        <v>2</v>
      </c>
      <c r="AB103">
        <v>1.82546709139201E-3</v>
      </c>
      <c r="AC103">
        <v>0.24009603841536609</v>
      </c>
      <c r="AD103">
        <v>1.6799243167042729E-2</v>
      </c>
      <c r="AE103">
        <v>4.21874038875103E-2</v>
      </c>
      <c r="AF103">
        <v>2.7490761131048199E-2</v>
      </c>
      <c r="AG103">
        <v>2.7447624132037159E-2</v>
      </c>
      <c r="AH103">
        <v>6.7392867058515549E-3</v>
      </c>
      <c r="AI103">
        <f>Table42[[#This Row],[Target Rate]]/Table42[[#Totals],[Target Rate]]</f>
        <v>2.2239580108382562E-2</v>
      </c>
    </row>
    <row r="104" spans="1:35" x14ac:dyDescent="0.35">
      <c r="A104">
        <v>9</v>
      </c>
      <c r="B104">
        <v>846328</v>
      </c>
      <c r="C104">
        <v>0</v>
      </c>
      <c r="D104">
        <v>0</v>
      </c>
      <c r="E104">
        <v>0</v>
      </c>
      <c r="F104">
        <v>3.420546418055892E-3</v>
      </c>
      <c r="G104">
        <v>1.6799243167042729E-2</v>
      </c>
      <c r="H104">
        <v>9.0996697545051575E-3</v>
      </c>
      <c r="I104">
        <v>8.5508851334452629E-3</v>
      </c>
      <c r="J104">
        <v>3.9421999827027321E-3</v>
      </c>
      <c r="K104">
        <f>Table40[[#This Row],[Target Rate]]/'[1]Data Preprocessing'!$C$20</f>
        <v>0</v>
      </c>
      <c r="M104">
        <v>9</v>
      </c>
      <c r="N104">
        <v>210602</v>
      </c>
      <c r="O104">
        <v>8</v>
      </c>
      <c r="P104">
        <v>3.7986343909364581E-3</v>
      </c>
      <c r="Q104">
        <v>0.26586905948820211</v>
      </c>
      <c r="R104">
        <v>3.420546418055892E-3</v>
      </c>
      <c r="S104">
        <v>1.679870672523975E-2</v>
      </c>
      <c r="T104">
        <v>8.4146084263920784E-3</v>
      </c>
      <c r="U104">
        <v>7.3871198110282421E-3</v>
      </c>
      <c r="V104">
        <v>3.9696395397186279E-3</v>
      </c>
      <c r="W104">
        <f>Table41[[#This Row],[Target Rate]]/'[1]Data Preprocessing'!$F$20</f>
        <v>2.4725789709373822E-2</v>
      </c>
      <c r="Y104">
        <v>9</v>
      </c>
      <c r="Z104">
        <v>110127</v>
      </c>
      <c r="AA104">
        <v>4</v>
      </c>
      <c r="AB104">
        <v>3.632170130848929E-3</v>
      </c>
      <c r="AC104">
        <v>0.48019207683073228</v>
      </c>
      <c r="AD104">
        <v>3.420546418055892E-3</v>
      </c>
      <c r="AE104">
        <v>1.6794722527265549E-2</v>
      </c>
      <c r="AF104">
        <v>8.7187457829713821E-3</v>
      </c>
      <c r="AG104">
        <v>7.4786730110645294E-3</v>
      </c>
      <c r="AH104">
        <v>4.194826353341341E-3</v>
      </c>
      <c r="AI104">
        <f>Table42[[#This Row],[Target Rate]]/Table42[[#Totals],[Target Rate]]</f>
        <v>4.4250558650548943E-2</v>
      </c>
    </row>
    <row r="105" spans="1:35" x14ac:dyDescent="0.35">
      <c r="A105">
        <v>10</v>
      </c>
      <c r="B105">
        <v>846328</v>
      </c>
      <c r="C105">
        <v>0</v>
      </c>
      <c r="D105">
        <v>0</v>
      </c>
      <c r="E105">
        <v>0</v>
      </c>
      <c r="F105">
        <v>2.36998366744956E-5</v>
      </c>
      <c r="G105">
        <v>3.420546418055892E-3</v>
      </c>
      <c r="H105">
        <v>1.247918582521379E-3</v>
      </c>
      <c r="I105">
        <v>7.736790576018393E-4</v>
      </c>
      <c r="J105">
        <v>1.044878619723022E-3</v>
      </c>
      <c r="K105">
        <f>Table40[[#This Row],[Target Rate]]/'[1]Data Preprocessing'!$C$20</f>
        <v>0</v>
      </c>
      <c r="M105">
        <v>10</v>
      </c>
      <c r="N105">
        <v>248824</v>
      </c>
      <c r="O105">
        <v>2</v>
      </c>
      <c r="P105">
        <v>8.0378098575700091E-4</v>
      </c>
      <c r="Q105">
        <v>6.6467264872050513E-2</v>
      </c>
      <c r="R105">
        <v>2.36998366744956E-5</v>
      </c>
      <c r="S105">
        <v>3.418971318751574E-3</v>
      </c>
      <c r="T105">
        <v>1.123180612921715E-3</v>
      </c>
      <c r="U105">
        <v>6.4778304658830166E-4</v>
      </c>
      <c r="V105">
        <v>9.3671760987490416E-4</v>
      </c>
      <c r="W105">
        <f>Table41[[#This Row],[Target Rate]]/'[1]Data Preprocessing'!$F$20</f>
        <v>5.2319116769016915E-3</v>
      </c>
      <c r="Y105">
        <v>10</v>
      </c>
      <c r="Z105">
        <v>131839</v>
      </c>
      <c r="AA105">
        <v>0</v>
      </c>
      <c r="AB105">
        <v>0</v>
      </c>
      <c r="AC105">
        <v>0</v>
      </c>
      <c r="AD105">
        <v>2.36998366744956E-5</v>
      </c>
      <c r="AE105">
        <v>3.420539665967226E-3</v>
      </c>
      <c r="AF105">
        <v>1.115399179980159E-3</v>
      </c>
      <c r="AG105">
        <v>6.4778304658830166E-4</v>
      </c>
      <c r="AH105">
        <v>9.2373281950131059E-4</v>
      </c>
      <c r="AI105">
        <f>Table42[[#This Row],[Target Rate]]/Table42[[#Totals],[Target Rate]]</f>
        <v>0</v>
      </c>
    </row>
    <row r="106" spans="1:35" x14ac:dyDescent="0.35">
      <c r="D106" s="14"/>
      <c r="Z106">
        <f>SUM(Table42[Counts])</f>
        <v>1014840</v>
      </c>
      <c r="AA106">
        <f>SUM(Table42[Positive Target])</f>
        <v>833</v>
      </c>
      <c r="AB106">
        <f>Table42[[#Totals],[Positive Target]]/Table42[[#Totals],[Counts]]*100</f>
        <v>8.2081904536675729E-2</v>
      </c>
    </row>
    <row r="107" spans="1:35" x14ac:dyDescent="0.35">
      <c r="B107" t="s">
        <v>75</v>
      </c>
      <c r="C107" t="s">
        <v>56</v>
      </c>
    </row>
    <row r="108" spans="1:35" x14ac:dyDescent="0.35">
      <c r="B108" t="s">
        <v>58</v>
      </c>
      <c r="C108">
        <v>0.4491</v>
      </c>
    </row>
    <row r="109" spans="1:35" x14ac:dyDescent="0.35">
      <c r="B109" t="s">
        <v>60</v>
      </c>
      <c r="C109">
        <v>0.153</v>
      </c>
    </row>
    <row r="110" spans="1:35" x14ac:dyDescent="0.35">
      <c r="B110" t="s">
        <v>57</v>
      </c>
      <c r="C110">
        <v>7.8200000000000006E-2</v>
      </c>
    </row>
    <row r="111" spans="1:35" x14ac:dyDescent="0.35">
      <c r="B111" t="s">
        <v>62</v>
      </c>
      <c r="C111">
        <v>6.1400000000000003E-2</v>
      </c>
    </row>
    <row r="112" spans="1:35" x14ac:dyDescent="0.35">
      <c r="B112" t="s">
        <v>59</v>
      </c>
      <c r="C112">
        <v>5.9299999999999999E-2</v>
      </c>
    </row>
    <row r="113" spans="1:35" x14ac:dyDescent="0.35">
      <c r="B113" t="s">
        <v>67</v>
      </c>
      <c r="C113">
        <v>4.9700000000000001E-2</v>
      </c>
    </row>
    <row r="114" spans="1:35" x14ac:dyDescent="0.35">
      <c r="B114" t="s">
        <v>61</v>
      </c>
      <c r="C114">
        <v>4.41E-2</v>
      </c>
    </row>
    <row r="115" spans="1:35" x14ac:dyDescent="0.35">
      <c r="B115" t="s">
        <v>64</v>
      </c>
      <c r="C115">
        <v>3.73E-2</v>
      </c>
    </row>
    <row r="116" spans="1:35" x14ac:dyDescent="0.35">
      <c r="B116" t="s">
        <v>65</v>
      </c>
      <c r="C116">
        <v>2.0899999999999998E-2</v>
      </c>
    </row>
    <row r="117" spans="1:35" x14ac:dyDescent="0.35">
      <c r="B117" t="s">
        <v>63</v>
      </c>
      <c r="C117">
        <v>2.0199999999999999E-2</v>
      </c>
    </row>
    <row r="118" spans="1:35" x14ac:dyDescent="0.35">
      <c r="B118" t="s">
        <v>66</v>
      </c>
      <c r="C118">
        <v>1.37E-2</v>
      </c>
    </row>
    <row r="119" spans="1:35" x14ac:dyDescent="0.35">
      <c r="B119" t="s">
        <v>69</v>
      </c>
      <c r="C119">
        <v>1.32E-2</v>
      </c>
    </row>
    <row r="121" spans="1:35" x14ac:dyDescent="0.35">
      <c r="A121" t="s">
        <v>72</v>
      </c>
    </row>
    <row r="122" spans="1:35" x14ac:dyDescent="0.35">
      <c r="A122" t="s">
        <v>50</v>
      </c>
      <c r="M122" t="s">
        <v>51</v>
      </c>
      <c r="Y122" t="s">
        <v>52</v>
      </c>
    </row>
    <row r="123" spans="1:35" s="15" customFormat="1" x14ac:dyDescent="0.35">
      <c r="A123" s="16" t="s">
        <v>53</v>
      </c>
      <c r="B123" s="16" t="s">
        <v>3</v>
      </c>
      <c r="C123" s="16" t="s">
        <v>4</v>
      </c>
      <c r="D123" s="16" t="s">
        <v>5</v>
      </c>
      <c r="E123" s="16" t="s">
        <v>6</v>
      </c>
      <c r="F123" s="16" t="s">
        <v>13</v>
      </c>
      <c r="G123" s="16" t="s">
        <v>8</v>
      </c>
      <c r="H123" s="16" t="s">
        <v>9</v>
      </c>
      <c r="I123" s="16" t="s">
        <v>10</v>
      </c>
      <c r="J123" s="16" t="s">
        <v>11</v>
      </c>
      <c r="K123" s="16" t="s">
        <v>54</v>
      </c>
      <c r="M123" s="16" t="s">
        <v>53</v>
      </c>
      <c r="N123" s="16" t="s">
        <v>3</v>
      </c>
      <c r="O123" s="16" t="s">
        <v>4</v>
      </c>
      <c r="P123" s="16" t="s">
        <v>5</v>
      </c>
      <c r="Q123" s="16" t="s">
        <v>6</v>
      </c>
      <c r="R123" s="16" t="s">
        <v>13</v>
      </c>
      <c r="S123" s="16" t="s">
        <v>8</v>
      </c>
      <c r="T123" s="16" t="s">
        <v>9</v>
      </c>
      <c r="U123" s="16" t="s">
        <v>10</v>
      </c>
      <c r="V123" s="16" t="s">
        <v>11</v>
      </c>
      <c r="W123" s="16" t="s">
        <v>54</v>
      </c>
      <c r="Y123" s="16" t="s">
        <v>53</v>
      </c>
      <c r="Z123" s="16" t="s">
        <v>3</v>
      </c>
      <c r="AA123" s="16" t="s">
        <v>4</v>
      </c>
      <c r="AB123" s="16" t="s">
        <v>5</v>
      </c>
      <c r="AC123" s="16" t="s">
        <v>6</v>
      </c>
      <c r="AD123" s="16" t="s">
        <v>13</v>
      </c>
      <c r="AE123" s="16" t="s">
        <v>8</v>
      </c>
      <c r="AF123" s="16" t="s">
        <v>9</v>
      </c>
      <c r="AG123" s="16" t="s">
        <v>10</v>
      </c>
      <c r="AH123" s="16" t="s">
        <v>11</v>
      </c>
      <c r="AI123" s="16" t="s">
        <v>54</v>
      </c>
    </row>
    <row r="124" spans="1:35" x14ac:dyDescent="0.35">
      <c r="A124">
        <v>1</v>
      </c>
      <c r="B124">
        <v>715885</v>
      </c>
      <c r="C124">
        <v>4430</v>
      </c>
      <c r="D124">
        <v>0.61881447439183668</v>
      </c>
      <c r="E124">
        <v>62.332911214295763</v>
      </c>
      <c r="F124">
        <v>0.837108314037323</v>
      </c>
      <c r="G124">
        <v>0.99008560180664063</v>
      </c>
      <c r="H124">
        <v>0.89297723770141602</v>
      </c>
      <c r="I124">
        <v>0.89041382074356079</v>
      </c>
      <c r="J124">
        <v>3.5129331052303307E-2</v>
      </c>
      <c r="K124">
        <f>Table44[[#This Row],[Target Rate]]/Table44[[#Totals],[Target Rate]]</f>
        <v>4.3408455301280586</v>
      </c>
      <c r="M124">
        <v>1</v>
      </c>
      <c r="N124">
        <v>167134</v>
      </c>
      <c r="O124">
        <v>2040</v>
      </c>
      <c r="P124">
        <v>1.220577500688071</v>
      </c>
      <c r="Q124">
        <v>72.805139186295492</v>
      </c>
      <c r="R124">
        <v>0.83710867166519165</v>
      </c>
      <c r="S124">
        <v>0.98954880237579346</v>
      </c>
      <c r="T124">
        <v>0.89162379503250122</v>
      </c>
      <c r="U124">
        <v>0.88870096206665039</v>
      </c>
      <c r="V124">
        <v>3.4443926066160202E-2</v>
      </c>
      <c r="W124">
        <f>Table45[[#This Row],[Target Rate]]/Table45[[#Totals],[Target Rate]]</f>
        <v>5.2773597991830501</v>
      </c>
      <c r="Y124">
        <v>1</v>
      </c>
      <c r="Z124">
        <v>75752</v>
      </c>
      <c r="AA124">
        <v>329</v>
      </c>
      <c r="AB124">
        <v>0.43431196536065048</v>
      </c>
      <c r="AC124">
        <v>44.45945945945946</v>
      </c>
      <c r="AD124">
        <v>0.83710849285125732</v>
      </c>
      <c r="AE124">
        <v>0.98830622434616089</v>
      </c>
      <c r="AF124">
        <v>0.88718563318252563</v>
      </c>
      <c r="AG124">
        <v>0.88346242904663086</v>
      </c>
      <c r="AH124">
        <v>3.2694257795810699E-2</v>
      </c>
      <c r="AI124">
        <f>Table46[[#This Row],[Target Rate]]/Table46[[#Totals],[Target Rate]]</f>
        <v>3.7588585476647833</v>
      </c>
    </row>
    <row r="125" spans="1:35" x14ac:dyDescent="0.35">
      <c r="A125">
        <v>2</v>
      </c>
      <c r="B125">
        <v>739915</v>
      </c>
      <c r="C125">
        <v>1658</v>
      </c>
      <c r="D125">
        <v>0.22407979294919009</v>
      </c>
      <c r="E125">
        <v>23.329112142957651</v>
      </c>
      <c r="F125">
        <v>0.72378683090209961</v>
      </c>
      <c r="G125">
        <v>0.83710825443267822</v>
      </c>
      <c r="H125">
        <v>0.78340756893157959</v>
      </c>
      <c r="I125">
        <v>0.78503960371017456</v>
      </c>
      <c r="J125">
        <v>3.219744935631752E-2</v>
      </c>
      <c r="K125">
        <f>Table44[[#This Row],[Target Rate]]/Table44[[#Totals],[Target Rate]]</f>
        <v>1.5718697733621474</v>
      </c>
      <c r="M125">
        <v>2</v>
      </c>
      <c r="N125">
        <v>187353</v>
      </c>
      <c r="O125">
        <v>492</v>
      </c>
      <c r="P125">
        <v>0.2626058830122816</v>
      </c>
      <c r="Q125">
        <v>17.558886509635979</v>
      </c>
      <c r="R125">
        <v>0.72378683090209961</v>
      </c>
      <c r="S125">
        <v>0.83710670471191406</v>
      </c>
      <c r="T125">
        <v>0.78263473510742188</v>
      </c>
      <c r="U125">
        <v>0.78425121307373047</v>
      </c>
      <c r="V125">
        <v>3.2182358205318451E-2</v>
      </c>
      <c r="W125">
        <f>Table45[[#This Row],[Target Rate]]/Table45[[#Totals],[Target Rate]]</f>
        <v>1.1354180535498433</v>
      </c>
      <c r="Y125">
        <v>2</v>
      </c>
      <c r="Z125">
        <v>100580</v>
      </c>
      <c r="AA125">
        <v>212</v>
      </c>
      <c r="AB125">
        <v>0.21077749055478229</v>
      </c>
      <c r="AC125">
        <v>28.648648648648649</v>
      </c>
      <c r="AD125">
        <v>0.72378790378570557</v>
      </c>
      <c r="AE125">
        <v>0.83710825443267822</v>
      </c>
      <c r="AF125">
        <v>0.78130257129669189</v>
      </c>
      <c r="AG125">
        <v>0.78178524971008301</v>
      </c>
      <c r="AH125">
        <v>3.2194536179304123E-2</v>
      </c>
      <c r="AI125">
        <f>Table46[[#This Row],[Target Rate]]/Table46[[#Totals],[Target Rate]]</f>
        <v>1.8242250622067686</v>
      </c>
    </row>
    <row r="126" spans="1:35" x14ac:dyDescent="0.35">
      <c r="A126">
        <v>3</v>
      </c>
      <c r="B126">
        <v>723286</v>
      </c>
      <c r="C126">
        <v>730</v>
      </c>
      <c r="D126">
        <v>0.1009282635084876</v>
      </c>
      <c r="E126">
        <v>10.27156324750246</v>
      </c>
      <c r="F126">
        <v>0.5499420166015625</v>
      </c>
      <c r="G126">
        <v>0.72378677129745483</v>
      </c>
      <c r="H126">
        <v>0.64376521110534668</v>
      </c>
      <c r="I126">
        <v>0.64733630418777466</v>
      </c>
      <c r="J126">
        <v>4.9634095281362527E-2</v>
      </c>
      <c r="K126">
        <f>Table44[[#This Row],[Target Rate]]/Table44[[#Totals],[Target Rate]]</f>
        <v>0.70798925953530478</v>
      </c>
      <c r="M126">
        <v>3</v>
      </c>
      <c r="N126">
        <v>196130</v>
      </c>
      <c r="O126">
        <v>181</v>
      </c>
      <c r="P126">
        <v>9.2285728853311585E-2</v>
      </c>
      <c r="Q126">
        <v>6.4596716630977884</v>
      </c>
      <c r="R126">
        <v>0.54994267225265503</v>
      </c>
      <c r="S126">
        <v>0.72378522157669067</v>
      </c>
      <c r="T126">
        <v>0.64528697729110718</v>
      </c>
      <c r="U126">
        <v>0.64854943752288818</v>
      </c>
      <c r="V126">
        <v>4.7994289547204971E-2</v>
      </c>
      <c r="W126">
        <f>Table45[[#This Row],[Target Rate]]/Table45[[#Totals],[Target Rate]]</f>
        <v>0.39901193919617989</v>
      </c>
      <c r="Y126">
        <v>3</v>
      </c>
      <c r="Z126">
        <v>112781</v>
      </c>
      <c r="AA126">
        <v>135</v>
      </c>
      <c r="AB126">
        <v>0.1197010134685807</v>
      </c>
      <c r="AC126">
        <v>18.243243243243239</v>
      </c>
      <c r="AD126">
        <v>0.54994463920593262</v>
      </c>
      <c r="AE126">
        <v>0.72378629446029663</v>
      </c>
      <c r="AF126">
        <v>0.64494585990905762</v>
      </c>
      <c r="AG126">
        <v>0.64854943752288818</v>
      </c>
      <c r="AH126">
        <v>4.9089487642049789E-2</v>
      </c>
      <c r="AI126">
        <f>Table46[[#This Row],[Target Rate]]/Table46[[#Totals],[Target Rate]]</f>
        <v>1.0359815375265673</v>
      </c>
    </row>
    <row r="127" spans="1:35" x14ac:dyDescent="0.35">
      <c r="A127">
        <v>4</v>
      </c>
      <c r="B127">
        <v>610060</v>
      </c>
      <c r="C127">
        <v>226</v>
      </c>
      <c r="D127">
        <v>3.7045536504606097E-2</v>
      </c>
      <c r="E127">
        <v>3.179963416350077</v>
      </c>
      <c r="F127">
        <v>0.26093718409538269</v>
      </c>
      <c r="G127">
        <v>0.54994112253189087</v>
      </c>
      <c r="H127">
        <v>0.41828441619873052</v>
      </c>
      <c r="I127">
        <v>0.42803388833999628</v>
      </c>
      <c r="J127">
        <v>8.8374190032482147E-2</v>
      </c>
      <c r="K127">
        <f>Table44[[#This Row],[Target Rate]]/Table44[[#Totals],[Target Rate]]</f>
        <v>0.25986617670062789</v>
      </c>
      <c r="M127">
        <v>4</v>
      </c>
      <c r="N127">
        <v>152190</v>
      </c>
      <c r="O127">
        <v>72</v>
      </c>
      <c r="P127">
        <v>4.730928444707274E-2</v>
      </c>
      <c r="Q127">
        <v>2.5695931477516059</v>
      </c>
      <c r="R127">
        <v>0.26097339391708368</v>
      </c>
      <c r="S127">
        <v>0.54993706941604614</v>
      </c>
      <c r="T127">
        <v>0.44088301062583918</v>
      </c>
      <c r="U127">
        <v>0.46471577882766718</v>
      </c>
      <c r="V127">
        <v>7.822185754776001E-2</v>
      </c>
      <c r="W127">
        <f>Table45[[#This Row],[Target Rate]]/Table45[[#Totals],[Target Rate]]</f>
        <v>0.20454917096894973</v>
      </c>
      <c r="Y127">
        <v>4</v>
      </c>
      <c r="Z127">
        <v>90857</v>
      </c>
      <c r="AA127">
        <v>53</v>
      </c>
      <c r="AB127">
        <v>5.8333425052555107E-2</v>
      </c>
      <c r="AC127">
        <v>7.1621621621621623</v>
      </c>
      <c r="AD127">
        <v>0.26094281673431402</v>
      </c>
      <c r="AE127">
        <v>0.54993045330047607</v>
      </c>
      <c r="AF127">
        <v>0.43828889727592468</v>
      </c>
      <c r="AG127">
        <v>0.45254203677177429</v>
      </c>
      <c r="AH127">
        <v>7.7919632196426392E-2</v>
      </c>
      <c r="AI127">
        <f>Table46[[#This Row],[Target Rate]]/Table46[[#Totals],[Target Rate]]</f>
        <v>0.5048608163288375</v>
      </c>
    </row>
    <row r="128" spans="1:35" x14ac:dyDescent="0.35">
      <c r="A128">
        <v>5</v>
      </c>
      <c r="B128">
        <v>329233</v>
      </c>
      <c r="C128">
        <v>40</v>
      </c>
      <c r="D128">
        <v>1.2149450389238019E-2</v>
      </c>
      <c r="E128">
        <v>0.56282538342479249</v>
      </c>
      <c r="F128">
        <v>0.1289177983999252</v>
      </c>
      <c r="G128">
        <v>0.260936439037323</v>
      </c>
      <c r="H128">
        <v>0.18860432505607599</v>
      </c>
      <c r="I128">
        <v>0.18598976731300351</v>
      </c>
      <c r="J128">
        <v>3.7805903702974319E-2</v>
      </c>
      <c r="K128">
        <f>Table44[[#This Row],[Target Rate]]/Table44[[#Totals],[Target Rate]]</f>
        <v>8.5225684915446742E-2</v>
      </c>
      <c r="M128">
        <v>5</v>
      </c>
      <c r="N128">
        <v>45088</v>
      </c>
      <c r="O128">
        <v>8</v>
      </c>
      <c r="P128">
        <v>1.7743080198722502E-2</v>
      </c>
      <c r="Q128">
        <v>0.28551034975017853</v>
      </c>
      <c r="R128">
        <v>0.12892606854438779</v>
      </c>
      <c r="S128">
        <v>0.26091548800468439</v>
      </c>
      <c r="T128">
        <v>0.18703173100948331</v>
      </c>
      <c r="U128">
        <v>0.18240699172019961</v>
      </c>
      <c r="V128">
        <v>3.784748911857605E-2</v>
      </c>
      <c r="W128">
        <f>Table45[[#This Row],[Target Rate]]/Table45[[#Totals],[Target Rate]]</f>
        <v>7.6715012444218869E-2</v>
      </c>
      <c r="Y128">
        <v>5</v>
      </c>
      <c r="Z128">
        <v>25117</v>
      </c>
      <c r="AA128">
        <v>4</v>
      </c>
      <c r="AB128">
        <v>1.5925468805987979E-2</v>
      </c>
      <c r="AC128">
        <v>0.54054054054054057</v>
      </c>
      <c r="AD128">
        <v>0.12892606854438779</v>
      </c>
      <c r="AE128">
        <v>0.26092952489852911</v>
      </c>
      <c r="AF128">
        <v>0.1889339089393616</v>
      </c>
      <c r="AG128">
        <v>0.1853020638227463</v>
      </c>
      <c r="AH128">
        <v>3.6370199173688889E-2</v>
      </c>
      <c r="AI128">
        <f>Table46[[#This Row],[Target Rate]]/Table46[[#Totals],[Target Rate]]</f>
        <v>0.13783084354410552</v>
      </c>
    </row>
    <row r="129" spans="1:35" x14ac:dyDescent="0.35">
      <c r="A129">
        <v>6</v>
      </c>
      <c r="B129">
        <v>215164</v>
      </c>
      <c r="C129">
        <v>10</v>
      </c>
      <c r="D129">
        <v>4.6476176312022456E-3</v>
      </c>
      <c r="E129">
        <v>0.1407063458561981</v>
      </c>
      <c r="F129">
        <v>8.6461126804351807E-2</v>
      </c>
      <c r="G129">
        <v>0.12891389429569239</v>
      </c>
      <c r="H129">
        <v>0.1055184379220009</v>
      </c>
      <c r="I129">
        <v>0.10459060966968541</v>
      </c>
      <c r="J129">
        <v>1.176945120096207E-2</v>
      </c>
      <c r="K129">
        <f>Table44[[#This Row],[Target Rate]]/Table44[[#Totals],[Target Rate]]</f>
        <v>3.2602001173253042E-2</v>
      </c>
      <c r="M129">
        <v>6</v>
      </c>
      <c r="N129">
        <v>46722</v>
      </c>
      <c r="O129">
        <v>1</v>
      </c>
      <c r="P129">
        <v>2.140319335644879E-3</v>
      </c>
      <c r="Q129">
        <v>3.5688793718772309E-2</v>
      </c>
      <c r="R129">
        <v>8.6468718945980072E-2</v>
      </c>
      <c r="S129">
        <v>0.12890969216823581</v>
      </c>
      <c r="T129">
        <v>0.1055688783526421</v>
      </c>
      <c r="U129">
        <v>0.107253722846508</v>
      </c>
      <c r="V129">
        <v>1.2013839557766909E-2</v>
      </c>
      <c r="W129">
        <f>Table45[[#This Row],[Target Rate]]/Table45[[#Totals],[Target Rate]]</f>
        <v>9.2540090350502462E-3</v>
      </c>
      <c r="Y129">
        <v>6</v>
      </c>
      <c r="Z129">
        <v>23686</v>
      </c>
      <c r="AA129">
        <v>0</v>
      </c>
      <c r="AB129">
        <v>0</v>
      </c>
      <c r="AC129">
        <v>0</v>
      </c>
      <c r="AD129">
        <v>8.6467988789081573E-2</v>
      </c>
      <c r="AE129">
        <v>0.12889820337295529</v>
      </c>
      <c r="AF129">
        <v>0.10499809682369229</v>
      </c>
      <c r="AG129">
        <v>0.10616040229797361</v>
      </c>
      <c r="AH129">
        <v>1.23022859916091E-2</v>
      </c>
      <c r="AI129">
        <f>Table46[[#This Row],[Target Rate]]/Table46[[#Totals],[Target Rate]]</f>
        <v>0</v>
      </c>
    </row>
    <row r="130" spans="1:35" x14ac:dyDescent="0.35">
      <c r="A130">
        <v>7</v>
      </c>
      <c r="B130">
        <v>306151</v>
      </c>
      <c r="C130">
        <v>12</v>
      </c>
      <c r="D130">
        <v>3.9196344287622774E-3</v>
      </c>
      <c r="E130">
        <v>0.1688476150274377</v>
      </c>
      <c r="F130">
        <v>4.219282791018486E-2</v>
      </c>
      <c r="G130">
        <v>8.6459174752235413E-2</v>
      </c>
      <c r="H130">
        <v>6.2676534056663513E-2</v>
      </c>
      <c r="I130">
        <v>6.16578608751297E-2</v>
      </c>
      <c r="J130">
        <v>1.290124095976353E-2</v>
      </c>
      <c r="K130">
        <f>Table44[[#This Row],[Target Rate]]/Table44[[#Totals],[Target Rate]]</f>
        <v>2.7495361362628836E-2</v>
      </c>
      <c r="M130">
        <v>7</v>
      </c>
      <c r="N130">
        <v>64958</v>
      </c>
      <c r="O130">
        <v>0</v>
      </c>
      <c r="P130">
        <v>0</v>
      </c>
      <c r="Q130">
        <v>0</v>
      </c>
      <c r="R130">
        <v>4.2195536196231842E-2</v>
      </c>
      <c r="S130">
        <v>8.6455918848514557E-2</v>
      </c>
      <c r="T130">
        <v>6.3397012650966644E-2</v>
      </c>
      <c r="U130">
        <v>6.4912118017673492E-2</v>
      </c>
      <c r="V130">
        <v>1.2760794721543791E-2</v>
      </c>
      <c r="W130">
        <f>Table45[[#This Row],[Target Rate]]/Table45[[#Totals],[Target Rate]]</f>
        <v>0</v>
      </c>
      <c r="Y130">
        <v>7</v>
      </c>
      <c r="Z130">
        <v>32027</v>
      </c>
      <c r="AA130">
        <v>2</v>
      </c>
      <c r="AB130">
        <v>6.2447310082118209E-3</v>
      </c>
      <c r="AC130">
        <v>0.27027027027027029</v>
      </c>
      <c r="AD130">
        <v>4.2208921164274223E-2</v>
      </c>
      <c r="AE130">
        <v>8.6453430354595184E-2</v>
      </c>
      <c r="AF130">
        <v>6.266697496175766E-2</v>
      </c>
      <c r="AG130">
        <v>6.2453258782625198E-2</v>
      </c>
      <c r="AH130">
        <v>1.269346754997969E-2</v>
      </c>
      <c r="AI130">
        <f>Table46[[#This Row],[Target Rate]]/Table46[[#Totals],[Target Rate]]</f>
        <v>5.4046543499192828E-2</v>
      </c>
    </row>
    <row r="131" spans="1:35" x14ac:dyDescent="0.35">
      <c r="A131">
        <v>8</v>
      </c>
      <c r="B131">
        <v>409701</v>
      </c>
      <c r="C131">
        <v>1</v>
      </c>
      <c r="D131">
        <v>2.440804391495261E-4</v>
      </c>
      <c r="E131">
        <v>1.407063458561981E-2</v>
      </c>
      <c r="F131">
        <v>1.6799243167042729E-2</v>
      </c>
      <c r="G131">
        <v>4.2185872793197632E-2</v>
      </c>
      <c r="H131">
        <v>2.664211206138134E-2</v>
      </c>
      <c r="I131">
        <v>2.5447066873312E-2</v>
      </c>
      <c r="J131">
        <v>7.062532939016819E-3</v>
      </c>
      <c r="K131">
        <f>Table44[[#This Row],[Target Rate]]/Table44[[#Totals],[Target Rate]]</f>
        <v>1.7121698459222256E-3</v>
      </c>
      <c r="M131">
        <v>8</v>
      </c>
      <c r="N131">
        <v>101122</v>
      </c>
      <c r="O131">
        <v>0</v>
      </c>
      <c r="P131">
        <v>0</v>
      </c>
      <c r="Q131">
        <v>0</v>
      </c>
      <c r="R131">
        <v>1.6799243167042729E-2</v>
      </c>
      <c r="S131">
        <v>4.2184159159660339E-2</v>
      </c>
      <c r="T131">
        <v>2.6074640452861789E-2</v>
      </c>
      <c r="U131">
        <v>2.5208264589309689E-2</v>
      </c>
      <c r="V131">
        <v>7.1080019697546959E-3</v>
      </c>
      <c r="W131">
        <f>Table45[[#This Row],[Target Rate]]/Table45[[#Totals],[Target Rate]]</f>
        <v>0</v>
      </c>
      <c r="Y131">
        <v>8</v>
      </c>
      <c r="Z131">
        <v>49764</v>
      </c>
      <c r="AA131">
        <v>2</v>
      </c>
      <c r="AB131">
        <v>4.0189695362109149E-3</v>
      </c>
      <c r="AC131">
        <v>0.27027027027027029</v>
      </c>
      <c r="AD131">
        <v>1.6799243167042729E-2</v>
      </c>
      <c r="AE131">
        <v>4.21874038875103E-2</v>
      </c>
      <c r="AF131">
        <v>2.6110030710697171E-2</v>
      </c>
      <c r="AG131">
        <v>2.4845145642757419E-2</v>
      </c>
      <c r="AH131">
        <v>7.2136372327804574E-3</v>
      </c>
      <c r="AI131">
        <f>Table46[[#This Row],[Target Rate]]/Table46[[#Totals],[Target Rate]]</f>
        <v>3.478314943832185E-2</v>
      </c>
    </row>
    <row r="132" spans="1:35" x14ac:dyDescent="0.35">
      <c r="A132">
        <v>9</v>
      </c>
      <c r="B132">
        <v>532067</v>
      </c>
      <c r="C132">
        <v>0</v>
      </c>
      <c r="D132">
        <v>0</v>
      </c>
      <c r="E132">
        <v>0</v>
      </c>
      <c r="F132">
        <v>3.420546418055892E-3</v>
      </c>
      <c r="G132">
        <v>1.6798030585050579E-2</v>
      </c>
      <c r="H132">
        <v>8.1697599962353706E-3</v>
      </c>
      <c r="I132">
        <v>8.2992082461714745E-3</v>
      </c>
      <c r="J132">
        <v>3.77656240016222E-3</v>
      </c>
      <c r="K132">
        <f>Table44[[#This Row],[Target Rate]]/Table44[[#Totals],[Target Rate]]</f>
        <v>0</v>
      </c>
      <c r="M132">
        <v>9</v>
      </c>
      <c r="N132">
        <v>124544</v>
      </c>
      <c r="O132">
        <v>6</v>
      </c>
      <c r="P132">
        <v>4.8175745118191164E-3</v>
      </c>
      <c r="Q132">
        <v>0.21413276231263381</v>
      </c>
      <c r="R132">
        <v>3.420546418055892E-3</v>
      </c>
      <c r="S132">
        <v>1.6794722527265549E-2</v>
      </c>
      <c r="T132">
        <v>8.0765560269355774E-3</v>
      </c>
      <c r="U132">
        <v>7.4786730110645294E-3</v>
      </c>
      <c r="V132">
        <v>3.86790931224823E-3</v>
      </c>
      <c r="W132">
        <f>Table45[[#This Row],[Target Rate]]/Table45[[#Totals],[Target Rate]]</f>
        <v>2.082954506691374E-2</v>
      </c>
      <c r="Y132">
        <v>9</v>
      </c>
      <c r="Z132">
        <v>63612</v>
      </c>
      <c r="AA132">
        <v>3</v>
      </c>
      <c r="AB132">
        <v>4.7160913035276357E-3</v>
      </c>
      <c r="AC132">
        <v>0.40540540540540537</v>
      </c>
      <c r="AD132">
        <v>3.420546418055892E-3</v>
      </c>
      <c r="AE132">
        <v>1.6794722527265549E-2</v>
      </c>
      <c r="AF132">
        <v>8.3939312025904655E-3</v>
      </c>
      <c r="AG132">
        <v>7.7499761246144772E-3</v>
      </c>
      <c r="AH132">
        <v>4.0769022889435291E-3</v>
      </c>
      <c r="AI132">
        <f>Table46[[#This Row],[Target Rate]]/Table46[[#Totals],[Target Rate]]</f>
        <v>4.0816559343724031E-2</v>
      </c>
    </row>
    <row r="133" spans="1:35" x14ac:dyDescent="0.35">
      <c r="A133">
        <v>10</v>
      </c>
      <c r="B133">
        <v>403940</v>
      </c>
      <c r="C133">
        <v>0</v>
      </c>
      <c r="D133">
        <v>0</v>
      </c>
      <c r="E133">
        <v>0</v>
      </c>
      <c r="F133">
        <v>4.40793446614407E-5</v>
      </c>
      <c r="G133">
        <v>3.418971318751574E-3</v>
      </c>
      <c r="H133">
        <v>1.568956184200943E-3</v>
      </c>
      <c r="I133">
        <v>1.2977367732673879E-3</v>
      </c>
      <c r="J133">
        <v>9.3130179448053241E-4</v>
      </c>
      <c r="K133">
        <f>Table44[[#This Row],[Target Rate]]/Table44[[#Totals],[Target Rate]]</f>
        <v>0</v>
      </c>
      <c r="M133">
        <v>10</v>
      </c>
      <c r="N133">
        <v>126248</v>
      </c>
      <c r="O133">
        <v>2</v>
      </c>
      <c r="P133">
        <v>1.5841835118180091E-3</v>
      </c>
      <c r="Q133">
        <v>7.1377587437544618E-2</v>
      </c>
      <c r="R133">
        <v>4.40793446614407E-5</v>
      </c>
      <c r="S133">
        <v>3.418971318751574E-3</v>
      </c>
      <c r="T133">
        <v>1.584135578013957E-3</v>
      </c>
      <c r="U133">
        <v>1.393386162817478E-3</v>
      </c>
      <c r="V133">
        <v>9.2730310279875994E-4</v>
      </c>
      <c r="W133">
        <f>Table45[[#This Row],[Target Rate]]/Table45[[#Totals],[Target Rate]]</f>
        <v>6.8494678749068099E-3</v>
      </c>
      <c r="Y133">
        <v>10</v>
      </c>
      <c r="Z133">
        <v>66275</v>
      </c>
      <c r="AA133">
        <v>0</v>
      </c>
      <c r="AB133">
        <v>0</v>
      </c>
      <c r="AC133">
        <v>0</v>
      </c>
      <c r="AD133">
        <v>4.2458446841919788E-5</v>
      </c>
      <c r="AE133">
        <v>3.420539665967226E-3</v>
      </c>
      <c r="AF133">
        <v>1.5811696648597719E-3</v>
      </c>
      <c r="AG133">
        <v>1.434551668353379E-3</v>
      </c>
      <c r="AH133">
        <v>9.1456354130059481E-4</v>
      </c>
      <c r="AI133">
        <f>Table46[[#This Row],[Target Rate]]/Table46[[#Totals],[Target Rate]]</f>
        <v>0</v>
      </c>
    </row>
    <row r="134" spans="1:35" x14ac:dyDescent="0.35">
      <c r="B134">
        <f>SUM(Table44[Counts])</f>
        <v>4985402</v>
      </c>
      <c r="C134">
        <f>SUM(Table44[Positive Target])</f>
        <v>7107</v>
      </c>
      <c r="D134">
        <f>Table44[[#Totals],[Positive Target]]/Table44[[#Totals],[Counts]]*100</f>
        <v>0.14255620710225575</v>
      </c>
      <c r="N134">
        <f>SUM(Table45[Counts])</f>
        <v>1211489</v>
      </c>
      <c r="O134">
        <f>SUM(Table45[Positive Target])</f>
        <v>2802</v>
      </c>
      <c r="P134">
        <f>Table45[[#Totals],[Positive Target]]/Table45[[#Totals],[Counts]]*100</f>
        <v>0.23128563280392969</v>
      </c>
      <c r="Z134">
        <f>SUM(Table46[Counts])</f>
        <v>640451</v>
      </c>
      <c r="AA134">
        <f>SUM(Table46[Positive Target])</f>
        <v>740</v>
      </c>
      <c r="AB134">
        <f>Table46[[#Totals],[Positive Target]]/Table46[[#Totals],[Counts]]*100</f>
        <v>0.11554357788495918</v>
      </c>
    </row>
    <row r="135" spans="1:35" x14ac:dyDescent="0.35">
      <c r="A135" t="s">
        <v>73</v>
      </c>
    </row>
    <row r="136" spans="1:35" x14ac:dyDescent="0.35">
      <c r="A136" t="s">
        <v>50</v>
      </c>
      <c r="M136" t="s">
        <v>51</v>
      </c>
      <c r="Y136" t="s">
        <v>52</v>
      </c>
    </row>
    <row r="137" spans="1:35" s="15" customFormat="1" x14ac:dyDescent="0.35">
      <c r="A137" s="17" t="s">
        <v>53</v>
      </c>
      <c r="B137" s="17" t="s">
        <v>3</v>
      </c>
      <c r="C137" s="17" t="s">
        <v>4</v>
      </c>
      <c r="D137" s="17" t="s">
        <v>5</v>
      </c>
      <c r="E137" s="17" t="s">
        <v>6</v>
      </c>
      <c r="F137" s="17" t="s">
        <v>13</v>
      </c>
      <c r="G137" s="17" t="s">
        <v>8</v>
      </c>
      <c r="H137" s="17" t="s">
        <v>9</v>
      </c>
      <c r="I137" s="17" t="s">
        <v>10</v>
      </c>
      <c r="J137" s="17" t="s">
        <v>11</v>
      </c>
      <c r="K137" s="17" t="s">
        <v>54</v>
      </c>
      <c r="M137" s="17" t="s">
        <v>53</v>
      </c>
      <c r="N137" s="17" t="s">
        <v>3</v>
      </c>
      <c r="O137" s="17" t="s">
        <v>4</v>
      </c>
      <c r="P137" s="17" t="s">
        <v>5</v>
      </c>
      <c r="Q137" s="17" t="s">
        <v>6</v>
      </c>
      <c r="R137" s="17" t="s">
        <v>13</v>
      </c>
      <c r="S137" s="17" t="s">
        <v>8</v>
      </c>
      <c r="T137" s="17" t="s">
        <v>9</v>
      </c>
      <c r="U137" s="17" t="s">
        <v>10</v>
      </c>
      <c r="V137" s="17" t="s">
        <v>11</v>
      </c>
      <c r="W137" s="17" t="s">
        <v>54</v>
      </c>
      <c r="Y137" s="17" t="s">
        <v>53</v>
      </c>
      <c r="Z137" s="17" t="s">
        <v>3</v>
      </c>
      <c r="AA137" s="17" t="s">
        <v>4</v>
      </c>
      <c r="AB137" s="17" t="s">
        <v>5</v>
      </c>
      <c r="AC137" s="17" t="s">
        <v>6</v>
      </c>
      <c r="AD137" s="17" t="s">
        <v>13</v>
      </c>
      <c r="AE137" s="17" t="s">
        <v>8</v>
      </c>
      <c r="AF137" s="17" t="s">
        <v>9</v>
      </c>
      <c r="AG137" s="17" t="s">
        <v>10</v>
      </c>
      <c r="AH137" s="17" t="s">
        <v>11</v>
      </c>
      <c r="AI137" s="17" t="s">
        <v>54</v>
      </c>
    </row>
    <row r="138" spans="1:35" x14ac:dyDescent="0.35">
      <c r="A138">
        <v>1</v>
      </c>
      <c r="B138" s="35">
        <v>130445</v>
      </c>
      <c r="C138">
        <v>858</v>
      </c>
      <c r="D138">
        <v>0.65774847636935108</v>
      </c>
      <c r="E138">
        <v>60.593220338983059</v>
      </c>
      <c r="F138">
        <v>0.83710867166519165</v>
      </c>
      <c r="G138">
        <v>0.98793679475784302</v>
      </c>
      <c r="H138">
        <v>0.89349788427352905</v>
      </c>
      <c r="I138">
        <v>0.89145088195800781</v>
      </c>
      <c r="J138">
        <v>3.4186523407697678E-2</v>
      </c>
      <c r="K138">
        <f>Table47[[#This Row],[Target Rate]]/Table47[[#Totals],[Target Rate]]</f>
        <v>16.155180506623026</v>
      </c>
      <c r="M138">
        <v>1</v>
      </c>
      <c r="N138">
        <v>12322</v>
      </c>
      <c r="O138">
        <v>128</v>
      </c>
      <c r="P138">
        <v>1.0387924038305469</v>
      </c>
      <c r="Q138">
        <v>61.835748792270529</v>
      </c>
      <c r="R138">
        <v>0.83713269233703613</v>
      </c>
      <c r="S138">
        <v>0.99092227220535278</v>
      </c>
      <c r="T138">
        <v>0.8931039571762085</v>
      </c>
      <c r="U138">
        <v>0.8896527886390686</v>
      </c>
      <c r="V138">
        <v>3.5242743790149689E-2</v>
      </c>
      <c r="W138">
        <f>Table48[[#This Row],[Target Rate]]/Table48[[#Totals],[Target Rate]]</f>
        <v>37.49222591539268</v>
      </c>
      <c r="Y138">
        <v>1</v>
      </c>
      <c r="Z138">
        <v>5493</v>
      </c>
      <c r="AA138">
        <v>53</v>
      </c>
      <c r="AB138">
        <v>0.96486437283815762</v>
      </c>
      <c r="AC138">
        <v>56.98924731182796</v>
      </c>
      <c r="AD138">
        <v>0.83713042736053467</v>
      </c>
      <c r="AE138">
        <v>0.9820365309715271</v>
      </c>
      <c r="AF138">
        <v>0.88837277889251709</v>
      </c>
      <c r="AG138">
        <v>0.88394683599472046</v>
      </c>
      <c r="AH138">
        <v>3.2837770879268653E-2</v>
      </c>
      <c r="AI138">
        <f>Table49[[#This Row],[Target Rate]]/Table49[[#Totals],[Target Rate]]</f>
        <v>38.842430933602692</v>
      </c>
    </row>
    <row r="139" spans="1:35" x14ac:dyDescent="0.35">
      <c r="A139">
        <v>2</v>
      </c>
      <c r="B139" s="35">
        <v>106413</v>
      </c>
      <c r="C139">
        <v>196</v>
      </c>
      <c r="D139">
        <v>0.18418802214015209</v>
      </c>
      <c r="E139">
        <v>13.841807909604521</v>
      </c>
      <c r="F139">
        <v>0.72378891706466675</v>
      </c>
      <c r="G139">
        <v>0.83710789680480957</v>
      </c>
      <c r="H139">
        <v>0.78474330902099609</v>
      </c>
      <c r="I139">
        <v>0.78507715463638306</v>
      </c>
      <c r="J139">
        <v>3.1958099454641342E-2</v>
      </c>
      <c r="K139">
        <f>Table47[[#This Row],[Target Rate]]/Table47[[#Totals],[Target Rate]]</f>
        <v>4.5239036679442286</v>
      </c>
      <c r="M139">
        <v>2</v>
      </c>
      <c r="N139">
        <v>10447</v>
      </c>
      <c r="O139">
        <v>34</v>
      </c>
      <c r="P139">
        <v>0.32545228295204359</v>
      </c>
      <c r="Q139">
        <v>16.425120772946858</v>
      </c>
      <c r="R139">
        <v>0.72385579347610474</v>
      </c>
      <c r="S139">
        <v>0.83710521459579468</v>
      </c>
      <c r="T139">
        <v>0.78429216146469116</v>
      </c>
      <c r="U139">
        <v>0.78467094898223877</v>
      </c>
      <c r="V139">
        <v>3.2168060541152947E-2</v>
      </c>
      <c r="W139">
        <f>Table48[[#This Row],[Target Rate]]/Table48[[#Totals],[Target Rate]]</f>
        <v>11.746264674369682</v>
      </c>
      <c r="Y139">
        <v>2</v>
      </c>
      <c r="Z139">
        <v>5704</v>
      </c>
      <c r="AA139">
        <v>23</v>
      </c>
      <c r="AB139">
        <v>0.40322580645161288</v>
      </c>
      <c r="AC139">
        <v>24.731182795698921</v>
      </c>
      <c r="AD139">
        <v>0.72380363941192627</v>
      </c>
      <c r="AE139">
        <v>0.83709430694580078</v>
      </c>
      <c r="AF139">
        <v>0.78504395484924316</v>
      </c>
      <c r="AG139">
        <v>0.78467094898223877</v>
      </c>
      <c r="AH139">
        <v>3.1248025596141819E-2</v>
      </c>
      <c r="AI139">
        <f>Table49[[#This Row],[Target Rate]]/Table49[[#Totals],[Target Rate]]</f>
        <v>16.232613596947623</v>
      </c>
    </row>
    <row r="140" spans="1:35" x14ac:dyDescent="0.35">
      <c r="A140">
        <v>3</v>
      </c>
      <c r="B140" s="35">
        <v>123070</v>
      </c>
      <c r="C140">
        <v>144</v>
      </c>
      <c r="D140">
        <v>0.1170065816202161</v>
      </c>
      <c r="E140">
        <v>10.16949152542373</v>
      </c>
      <c r="F140">
        <v>0.54994142055511475</v>
      </c>
      <c r="G140">
        <v>0.72378110885620117</v>
      </c>
      <c r="H140">
        <v>0.64716804027557373</v>
      </c>
      <c r="I140">
        <v>0.63657921552658081</v>
      </c>
      <c r="J140">
        <v>4.4802464544773102E-2</v>
      </c>
      <c r="K140">
        <f>Table47[[#This Row],[Target Rate]]/Table47[[#Totals],[Target Rate]]</f>
        <v>2.8738378186315341</v>
      </c>
      <c r="M140">
        <v>3</v>
      </c>
      <c r="N140">
        <v>12294</v>
      </c>
      <c r="O140">
        <v>21</v>
      </c>
      <c r="P140">
        <v>0.17081503172279161</v>
      </c>
      <c r="Q140">
        <v>10.144927536231879</v>
      </c>
      <c r="R140">
        <v>0.54994142055511475</v>
      </c>
      <c r="S140">
        <v>0.72368258237838745</v>
      </c>
      <c r="T140">
        <v>0.6524849534034729</v>
      </c>
      <c r="U140">
        <v>0.63842147588729858</v>
      </c>
      <c r="V140">
        <v>3.8204967975616462E-2</v>
      </c>
      <c r="W140">
        <f>Table48[[#This Row],[Target Rate]]/Table48[[#Totals],[Target Rate]]</f>
        <v>6.165077579967134</v>
      </c>
      <c r="Y140">
        <v>3</v>
      </c>
      <c r="Z140">
        <v>6849</v>
      </c>
      <c r="AA140">
        <v>7</v>
      </c>
      <c r="AB140">
        <v>0.1022047014162651</v>
      </c>
      <c r="AC140">
        <v>7.5268817204301079</v>
      </c>
      <c r="AD140">
        <v>0.54994142055511475</v>
      </c>
      <c r="AE140">
        <v>0.72371125221252441</v>
      </c>
      <c r="AF140">
        <v>0.65409249067306519</v>
      </c>
      <c r="AG140">
        <v>0.64128899574279785</v>
      </c>
      <c r="AH140">
        <v>3.8371779024600983E-2</v>
      </c>
      <c r="AI140">
        <f>Table49[[#This Row],[Target Rate]]/Table49[[#Totals],[Target Rate]]</f>
        <v>4.1144425761864598</v>
      </c>
    </row>
    <row r="141" spans="1:35" x14ac:dyDescent="0.35">
      <c r="A141">
        <v>4</v>
      </c>
      <c r="B141" s="35">
        <v>255711</v>
      </c>
      <c r="C141">
        <v>93</v>
      </c>
      <c r="D141">
        <v>3.6369182397315722E-2</v>
      </c>
      <c r="E141">
        <v>6.5677966101694922</v>
      </c>
      <c r="F141">
        <v>0.26093697547912598</v>
      </c>
      <c r="G141">
        <v>0.54991835355758667</v>
      </c>
      <c r="H141">
        <v>0.35846090316772461</v>
      </c>
      <c r="I141">
        <v>0.34993535280227661</v>
      </c>
      <c r="J141">
        <v>7.5857959687709808E-2</v>
      </c>
      <c r="K141">
        <f>Table47[[#This Row],[Target Rate]]/Table47[[#Totals],[Target Rate]]</f>
        <v>0.89327566329017216</v>
      </c>
      <c r="M141">
        <v>4</v>
      </c>
      <c r="N141">
        <v>19017</v>
      </c>
      <c r="O141">
        <v>5</v>
      </c>
      <c r="P141">
        <v>2.6292264815691219E-2</v>
      </c>
      <c r="Q141">
        <v>2.4154589371980681</v>
      </c>
      <c r="R141">
        <v>0.26093697547912598</v>
      </c>
      <c r="S141">
        <v>0.54991835355758667</v>
      </c>
      <c r="T141">
        <v>0.36026820540428162</v>
      </c>
      <c r="U141">
        <v>0.35609692335128779</v>
      </c>
      <c r="V141">
        <v>8.1579588353633881E-2</v>
      </c>
      <c r="W141">
        <f>Table48[[#This Row],[Target Rate]]/Table48[[#Totals],[Target Rate]]</f>
        <v>0.94894372413800088</v>
      </c>
      <c r="Y141">
        <v>4</v>
      </c>
      <c r="Z141">
        <v>9114</v>
      </c>
      <c r="AA141">
        <v>3</v>
      </c>
      <c r="AB141">
        <v>3.2916392363396968E-2</v>
      </c>
      <c r="AC141">
        <v>3.225806451612903</v>
      </c>
      <c r="AD141">
        <v>0.26093697547912598</v>
      </c>
      <c r="AE141">
        <v>0.54960083961486816</v>
      </c>
      <c r="AF141">
        <v>0.36146453022956848</v>
      </c>
      <c r="AG141">
        <v>0.35774379968643188</v>
      </c>
      <c r="AH141">
        <v>8.2994580268859863E-2</v>
      </c>
      <c r="AI141">
        <f>Table49[[#This Row],[Target Rate]]/Table49[[#Totals],[Target Rate]]</f>
        <v>1.3251113140365407</v>
      </c>
    </row>
    <row r="142" spans="1:35" x14ac:dyDescent="0.35">
      <c r="A142">
        <v>5</v>
      </c>
      <c r="B142" s="35">
        <v>516877</v>
      </c>
      <c r="C142">
        <v>69</v>
      </c>
      <c r="D142">
        <v>1.3349404210285999E-2</v>
      </c>
      <c r="E142">
        <v>4.8728813559322033</v>
      </c>
      <c r="F142">
        <v>0.12891486287116999</v>
      </c>
      <c r="G142">
        <v>0.26089909672737122</v>
      </c>
      <c r="H142">
        <v>0.17879669368267059</v>
      </c>
      <c r="I142">
        <v>0.16992488503456121</v>
      </c>
      <c r="J142">
        <v>4.1161466389894492E-2</v>
      </c>
      <c r="K142">
        <f>Table47[[#This Row],[Target Rate]]/Table47[[#Totals],[Target Rate]]</f>
        <v>0.32787918546532852</v>
      </c>
      <c r="M142">
        <v>5</v>
      </c>
      <c r="N142">
        <v>80342</v>
      </c>
      <c r="O142">
        <v>3</v>
      </c>
      <c r="P142">
        <v>3.7340369918598001E-3</v>
      </c>
      <c r="Q142">
        <v>1.449275362318841</v>
      </c>
      <c r="R142">
        <v>0.12891486287116999</v>
      </c>
      <c r="S142">
        <v>0.26084595918655401</v>
      </c>
      <c r="T142">
        <v>0.16754567623138431</v>
      </c>
      <c r="U142">
        <v>0.14942061901092529</v>
      </c>
      <c r="V142">
        <v>3.6870822310447693E-2</v>
      </c>
      <c r="W142">
        <f>Table48[[#This Row],[Target Rate]]/Table48[[#Totals],[Target Rate]]</f>
        <v>0.13476933211968115</v>
      </c>
      <c r="Y142">
        <v>5</v>
      </c>
      <c r="Z142">
        <v>34021</v>
      </c>
      <c r="AA142">
        <v>1</v>
      </c>
      <c r="AB142">
        <v>2.9393609829223128E-3</v>
      </c>
      <c r="AC142">
        <v>1.075268817204301</v>
      </c>
      <c r="AD142">
        <v>0.12891486287116999</v>
      </c>
      <c r="AE142">
        <v>0.26070767641067499</v>
      </c>
      <c r="AF142">
        <v>0.16753049194812769</v>
      </c>
      <c r="AG142">
        <v>0.1562016308307648</v>
      </c>
      <c r="AH142">
        <v>3.5152237862348563E-2</v>
      </c>
      <c r="AI142">
        <f>Table49[[#This Row],[Target Rate]]/Table49[[#Totals],[Target Rate]]</f>
        <v>0.11832950742315074</v>
      </c>
    </row>
    <row r="143" spans="1:35" x14ac:dyDescent="0.35">
      <c r="A143">
        <v>6</v>
      </c>
      <c r="B143" s="35">
        <v>641771</v>
      </c>
      <c r="C143">
        <v>38</v>
      </c>
      <c r="D143">
        <v>5.9211151641317544E-3</v>
      </c>
      <c r="E143">
        <v>2.6836158192090389</v>
      </c>
      <c r="F143">
        <v>8.6460471153259277E-2</v>
      </c>
      <c r="G143">
        <v>0.1288890540599823</v>
      </c>
      <c r="H143">
        <v>0.1059189736843109</v>
      </c>
      <c r="I143">
        <v>0.1050154939293861</v>
      </c>
      <c r="J143">
        <v>1.270771212875843E-2</v>
      </c>
      <c r="K143">
        <f>Table47[[#This Row],[Target Rate]]/Table47[[#Totals],[Target Rate]]</f>
        <v>0.14543049161445173</v>
      </c>
      <c r="M143">
        <v>6</v>
      </c>
      <c r="N143">
        <v>137773</v>
      </c>
      <c r="O143">
        <v>6</v>
      </c>
      <c r="P143">
        <v>4.3549897294825543E-3</v>
      </c>
      <c r="Q143">
        <v>2.8985507246376812</v>
      </c>
      <c r="R143">
        <v>8.6460471153259277E-2</v>
      </c>
      <c r="S143">
        <v>0.1288067102432251</v>
      </c>
      <c r="T143">
        <v>0.1069594696164131</v>
      </c>
      <c r="U143">
        <v>0.1061718240380287</v>
      </c>
      <c r="V143">
        <v>1.268595829606056E-2</v>
      </c>
      <c r="W143">
        <f>Table48[[#This Row],[Target Rate]]/Table48[[#Totals],[Target Rate]]</f>
        <v>0.15718083632002525</v>
      </c>
      <c r="Y143">
        <v>6</v>
      </c>
      <c r="Z143">
        <v>60727</v>
      </c>
      <c r="AA143">
        <v>1</v>
      </c>
      <c r="AB143">
        <v>1.646713982248423E-3</v>
      </c>
      <c r="AC143">
        <v>1.075268817204301</v>
      </c>
      <c r="AD143">
        <v>8.6460471153259277E-2</v>
      </c>
      <c r="AE143">
        <v>0.1288067102432251</v>
      </c>
      <c r="AF143">
        <v>0.1057869493961334</v>
      </c>
      <c r="AG143">
        <v>0.1050154939293861</v>
      </c>
      <c r="AH143">
        <v>1.243762392550707E-2</v>
      </c>
      <c r="AI143">
        <f>Table49[[#This Row],[Target Rate]]/Table49[[#Totals],[Target Rate]]</f>
        <v>6.6291570010753212E-2</v>
      </c>
    </row>
    <row r="144" spans="1:35" x14ac:dyDescent="0.35">
      <c r="A144">
        <v>7</v>
      </c>
      <c r="B144" s="35">
        <v>541495</v>
      </c>
      <c r="C144">
        <v>14</v>
      </c>
      <c r="D144">
        <v>2.5854347685574201E-3</v>
      </c>
      <c r="E144">
        <v>0.98870056497175152</v>
      </c>
      <c r="F144">
        <v>4.2187575250864029E-2</v>
      </c>
      <c r="G144">
        <v>8.6459681391716003E-2</v>
      </c>
      <c r="H144">
        <v>6.3996672630310059E-2</v>
      </c>
      <c r="I144">
        <v>6.198699027299881E-2</v>
      </c>
      <c r="J144">
        <v>1.408469490706921E-2</v>
      </c>
      <c r="K144">
        <f>Table47[[#This Row],[Target Rate]]/Table47[[#Totals],[Target Rate]]</f>
        <v>6.3501728813872338E-2</v>
      </c>
      <c r="M144">
        <v>7</v>
      </c>
      <c r="N144">
        <v>156931</v>
      </c>
      <c r="O144">
        <v>6</v>
      </c>
      <c r="P144">
        <v>3.8233363707616719E-3</v>
      </c>
      <c r="Q144">
        <v>2.8985507246376812</v>
      </c>
      <c r="R144">
        <v>4.2187575250864029E-2</v>
      </c>
      <c r="S144">
        <v>8.6458288133144379E-2</v>
      </c>
      <c r="T144">
        <v>6.59622922539711E-2</v>
      </c>
      <c r="U144">
        <v>6.9842986762523651E-2</v>
      </c>
      <c r="V144">
        <v>1.402363367378712E-2</v>
      </c>
      <c r="W144">
        <f>Table48[[#This Row],[Target Rate]]/Table48[[#Totals],[Target Rate]]</f>
        <v>0.13799233651935461</v>
      </c>
      <c r="Y144">
        <v>7</v>
      </c>
      <c r="Z144">
        <v>80605</v>
      </c>
      <c r="AA144">
        <v>4</v>
      </c>
      <c r="AB144">
        <v>4.9624713107127346E-3</v>
      </c>
      <c r="AC144">
        <v>4.3010752688172049</v>
      </c>
      <c r="AD144">
        <v>4.2187575250864029E-2</v>
      </c>
      <c r="AE144">
        <v>8.6458288133144379E-2</v>
      </c>
      <c r="AF144">
        <v>6.555253267288208E-2</v>
      </c>
      <c r="AG144">
        <v>7.1327835321426392E-2</v>
      </c>
      <c r="AH144">
        <v>1.3383774086833E-2</v>
      </c>
      <c r="AI144">
        <f>Table49[[#This Row],[Target Rate]]/Table49[[#Totals],[Target Rate]]</f>
        <v>0.19977362059639034</v>
      </c>
    </row>
    <row r="145" spans="1:35" x14ac:dyDescent="0.35">
      <c r="A145">
        <v>8</v>
      </c>
      <c r="B145" s="35">
        <v>405639</v>
      </c>
      <c r="C145">
        <v>4</v>
      </c>
      <c r="D145">
        <v>9.8609847672437799E-4</v>
      </c>
      <c r="E145">
        <v>0.2824858757062147</v>
      </c>
      <c r="F145">
        <v>1.6804017126560211E-2</v>
      </c>
      <c r="G145">
        <v>4.2177855968475342E-2</v>
      </c>
      <c r="H145">
        <v>2.893013879656792E-2</v>
      </c>
      <c r="I145">
        <v>2.7861427515745159E-2</v>
      </c>
      <c r="J145">
        <v>5.8907493948936462E-3</v>
      </c>
      <c r="K145">
        <f>Table47[[#This Row],[Target Rate]]/Table47[[#Totals],[Target Rate]]</f>
        <v>2.4219894779114147E-2</v>
      </c>
      <c r="M145">
        <v>8</v>
      </c>
      <c r="N145">
        <v>109347</v>
      </c>
      <c r="O145">
        <v>2</v>
      </c>
      <c r="P145">
        <v>1.8290396627250859E-3</v>
      </c>
      <c r="Q145">
        <v>0.96618357487922701</v>
      </c>
      <c r="R145">
        <v>1.680556125938892E-2</v>
      </c>
      <c r="S145">
        <v>4.2158924043178558E-2</v>
      </c>
      <c r="T145">
        <v>2.8263198211789131E-2</v>
      </c>
      <c r="U145">
        <v>2.7861427515745159E-2</v>
      </c>
      <c r="V145">
        <v>6.0387933626770973E-3</v>
      </c>
      <c r="W145">
        <f>Table48[[#This Row],[Target Rate]]/Table48[[#Totals],[Target Rate]]</f>
        <v>6.6013929241524189E-2</v>
      </c>
      <c r="Y145">
        <v>8</v>
      </c>
      <c r="Z145">
        <v>59797</v>
      </c>
      <c r="AA145">
        <v>0</v>
      </c>
      <c r="AB145">
        <v>0</v>
      </c>
      <c r="AC145">
        <v>0</v>
      </c>
      <c r="AD145">
        <v>1.680556125938892E-2</v>
      </c>
      <c r="AE145">
        <v>4.2177855968475342E-2</v>
      </c>
      <c r="AF145">
        <v>2.863982692360878E-2</v>
      </c>
      <c r="AG145">
        <v>2.8078269213438031E-2</v>
      </c>
      <c r="AH145">
        <v>6.0830675065517434E-3</v>
      </c>
      <c r="AI145">
        <f>Table49[[#This Row],[Target Rate]]/Table49[[#Totals],[Target Rate]]</f>
        <v>0</v>
      </c>
    </row>
    <row r="146" spans="1:35" x14ac:dyDescent="0.35">
      <c r="A146">
        <v>9</v>
      </c>
      <c r="B146" s="35">
        <v>354985</v>
      </c>
      <c r="C146">
        <v>0</v>
      </c>
      <c r="D146">
        <v>0</v>
      </c>
      <c r="E146">
        <v>0</v>
      </c>
      <c r="F146">
        <v>3.4316449891775851E-3</v>
      </c>
      <c r="G146">
        <v>1.679870672523975E-2</v>
      </c>
      <c r="H146">
        <v>9.8349731415510178E-3</v>
      </c>
      <c r="I146">
        <v>1.0063544847071171E-2</v>
      </c>
      <c r="J146">
        <v>4.186118021607399E-3</v>
      </c>
      <c r="K146">
        <f>Table47[[#This Row],[Target Rate]]/Table47[[#Totals],[Target Rate]]</f>
        <v>0</v>
      </c>
      <c r="M146">
        <v>9</v>
      </c>
      <c r="N146">
        <v>86058</v>
      </c>
      <c r="O146">
        <v>2</v>
      </c>
      <c r="P146">
        <v>2.324014037044784E-3</v>
      </c>
      <c r="Q146">
        <v>0.96618357487922701</v>
      </c>
      <c r="R146">
        <v>3.4240884706377979E-3</v>
      </c>
      <c r="S146">
        <v>1.679870672523975E-2</v>
      </c>
      <c r="T146">
        <v>8.9038386940956116E-3</v>
      </c>
      <c r="U146">
        <v>6.975686177611351E-3</v>
      </c>
      <c r="V146">
        <v>4.0629273280501374E-3</v>
      </c>
      <c r="W146">
        <f>Table48[[#This Row],[Target Rate]]/Table48[[#Totals],[Target Rate]]</f>
        <v>8.3878606530165087E-2</v>
      </c>
      <c r="Y146">
        <v>9</v>
      </c>
      <c r="Z146">
        <v>46515</v>
      </c>
      <c r="AA146">
        <v>1</v>
      </c>
      <c r="AB146">
        <v>2.149844136300118E-3</v>
      </c>
      <c r="AC146">
        <v>1.075268817204301</v>
      </c>
      <c r="AD146">
        <v>3.4240884706377979E-3</v>
      </c>
      <c r="AE146">
        <v>1.6766872256994251E-2</v>
      </c>
      <c r="AF146">
        <v>9.1629475355148315E-3</v>
      </c>
      <c r="AG146">
        <v>7.0105940103530884E-3</v>
      </c>
      <c r="AH146">
        <v>4.3115322478115559E-3</v>
      </c>
      <c r="AI146">
        <f>Table49[[#This Row],[Target Rate]]/Table49[[#Totals],[Target Rate]]</f>
        <v>8.6546021112394081E-2</v>
      </c>
    </row>
    <row r="147" spans="1:35" x14ac:dyDescent="0.35">
      <c r="A147">
        <v>10</v>
      </c>
      <c r="B147" s="35">
        <v>401479</v>
      </c>
      <c r="C147">
        <v>0</v>
      </c>
      <c r="D147">
        <v>0</v>
      </c>
      <c r="E147">
        <v>0</v>
      </c>
      <c r="F147">
        <v>2.36998366744956E-5</v>
      </c>
      <c r="G147">
        <v>3.413159865885973E-3</v>
      </c>
      <c r="H147">
        <v>7.0353213232010603E-4</v>
      </c>
      <c r="I147">
        <v>2.9698511934839189E-4</v>
      </c>
      <c r="J147">
        <v>7.4014184065163136E-4</v>
      </c>
      <c r="K147">
        <f>Table47[[#This Row],[Target Rate]]/Table47[[#Totals],[Target Rate]]</f>
        <v>0</v>
      </c>
      <c r="M147">
        <v>10</v>
      </c>
      <c r="N147">
        <v>122576</v>
      </c>
      <c r="O147">
        <v>0</v>
      </c>
      <c r="P147">
        <v>0</v>
      </c>
      <c r="Q147">
        <v>0</v>
      </c>
      <c r="R147">
        <v>2.36998366744956E-5</v>
      </c>
      <c r="S147">
        <v>3.413159865885973E-3</v>
      </c>
      <c r="T147">
        <v>6.4841716084629297E-4</v>
      </c>
      <c r="U147">
        <v>2.9698511934839189E-4</v>
      </c>
      <c r="V147">
        <v>6.7176838638260961E-4</v>
      </c>
      <c r="W147">
        <f>Table48[[#This Row],[Target Rate]]/Table48[[#Totals],[Target Rate]]</f>
        <v>0</v>
      </c>
      <c r="Y147">
        <v>10</v>
      </c>
      <c r="Z147">
        <v>65564</v>
      </c>
      <c r="AA147">
        <v>0</v>
      </c>
      <c r="AB147">
        <v>0</v>
      </c>
      <c r="AC147">
        <v>0</v>
      </c>
      <c r="AD147">
        <v>2.36998366744956E-5</v>
      </c>
      <c r="AE147">
        <v>3.416824154555798E-3</v>
      </c>
      <c r="AF147">
        <v>6.4457784174010158E-4</v>
      </c>
      <c r="AG147">
        <v>2.9698511934839189E-4</v>
      </c>
      <c r="AH147">
        <v>6.5525562968105078E-4</v>
      </c>
      <c r="AI147">
        <f>Table49[[#This Row],[Target Rate]]/Table49[[#Totals],[Target Rate]]</f>
        <v>0</v>
      </c>
    </row>
    <row r="148" spans="1:35" x14ac:dyDescent="0.35">
      <c r="B148" s="35">
        <f>SUM(Table47[Counts])</f>
        <v>3477885</v>
      </c>
      <c r="C148">
        <f>SUM(Table47[Positive Target])</f>
        <v>1416</v>
      </c>
      <c r="D148" s="38">
        <f>Table47[[#Totals],[Positive Target]]/Table47[[#Totals],[Counts]]*100</f>
        <v>4.0714399699817563E-2</v>
      </c>
      <c r="N148">
        <f>SUM(Table48[Counts])</f>
        <v>747107</v>
      </c>
      <c r="O148">
        <f>SUM(Table48[Positive Target])</f>
        <v>207</v>
      </c>
      <c r="P148">
        <f>Table48[[#Totals],[Positive Target]]/Table48[[#Totals],[Counts]]*100</f>
        <v>2.7706874651154387E-2</v>
      </c>
      <c r="Z148">
        <f>SUM(Table49[Counts])</f>
        <v>374389</v>
      </c>
      <c r="AA148">
        <f>SUM(Table49[Positive Target])</f>
        <v>93</v>
      </c>
      <c r="AB148">
        <f>Table49[[#Totals],[Positive Target]]/Table49[[#Totals],[Counts]]*100</f>
        <v>2.4840473411344884E-2</v>
      </c>
    </row>
    <row r="149" spans="1:35" x14ac:dyDescent="0.35">
      <c r="A149" t="s">
        <v>82</v>
      </c>
      <c r="D149" s="37"/>
      <c r="F149" s="36"/>
    </row>
    <row r="150" spans="1:35" x14ac:dyDescent="0.35">
      <c r="A150" t="s">
        <v>50</v>
      </c>
      <c r="M150" t="s">
        <v>51</v>
      </c>
      <c r="Y150" t="s">
        <v>52</v>
      </c>
    </row>
    <row r="151" spans="1:35" s="15" customFormat="1" x14ac:dyDescent="0.35">
      <c r="A151" s="17" t="s">
        <v>83</v>
      </c>
      <c r="B151" s="17" t="s">
        <v>3</v>
      </c>
      <c r="C151" s="17" t="s">
        <v>4</v>
      </c>
      <c r="D151" s="17" t="s">
        <v>5</v>
      </c>
      <c r="E151" s="17" t="s">
        <v>6</v>
      </c>
      <c r="F151" s="17" t="s">
        <v>13</v>
      </c>
      <c r="G151" s="17" t="s">
        <v>8</v>
      </c>
      <c r="H151" s="17" t="s">
        <v>9</v>
      </c>
      <c r="I151" s="17" t="s">
        <v>10</v>
      </c>
      <c r="J151" s="17" t="s">
        <v>11</v>
      </c>
      <c r="M151" s="17" t="s">
        <v>83</v>
      </c>
      <c r="N151" s="17" t="s">
        <v>3</v>
      </c>
      <c r="O151" s="17" t="s">
        <v>4</v>
      </c>
      <c r="P151" s="17" t="s">
        <v>5</v>
      </c>
      <c r="Q151" s="17" t="s">
        <v>6</v>
      </c>
      <c r="R151" s="17" t="s">
        <v>13</v>
      </c>
      <c r="S151" s="17" t="s">
        <v>8</v>
      </c>
      <c r="T151" s="17" t="s">
        <v>9</v>
      </c>
      <c r="U151" s="17" t="s">
        <v>10</v>
      </c>
      <c r="V151" s="17" t="s">
        <v>11</v>
      </c>
      <c r="Y151" s="17" t="s">
        <v>83</v>
      </c>
      <c r="Z151" s="17" t="s">
        <v>3</v>
      </c>
      <c r="AA151" s="17" t="s">
        <v>4</v>
      </c>
      <c r="AB151" s="17" t="s">
        <v>5</v>
      </c>
      <c r="AC151" s="17" t="s">
        <v>6</v>
      </c>
      <c r="AD151" s="17" t="s">
        <v>13</v>
      </c>
      <c r="AE151" s="17" t="s">
        <v>8</v>
      </c>
      <c r="AF151" s="17" t="s">
        <v>9</v>
      </c>
      <c r="AG151" s="17" t="s">
        <v>10</v>
      </c>
      <c r="AH151" s="17" t="s">
        <v>11</v>
      </c>
    </row>
    <row r="152" spans="1:35" x14ac:dyDescent="0.35">
      <c r="A152" t="s">
        <v>84</v>
      </c>
      <c r="B152">
        <v>726679</v>
      </c>
      <c r="C152">
        <v>1834</v>
      </c>
      <c r="D152">
        <v>0.25238103756954577</v>
      </c>
      <c r="E152">
        <v>21.518244749501349</v>
      </c>
      <c r="F152">
        <v>9.4946488388814032E-5</v>
      </c>
      <c r="G152">
        <v>0.98912930488586426</v>
      </c>
      <c r="H152">
        <v>0.57354575395584106</v>
      </c>
      <c r="I152">
        <v>0.64078295230865479</v>
      </c>
      <c r="J152">
        <v>0.27193641662597662</v>
      </c>
      <c r="M152" t="s">
        <v>84</v>
      </c>
      <c r="N152">
        <v>161125</v>
      </c>
      <c r="O152">
        <v>557</v>
      </c>
      <c r="P152">
        <v>0.34569433669511251</v>
      </c>
      <c r="Q152">
        <v>18.511133266866072</v>
      </c>
      <c r="R152">
        <v>9.4946488388814032E-5</v>
      </c>
      <c r="S152">
        <v>0.98515468835830688</v>
      </c>
      <c r="T152">
        <v>0.67569655179977417</v>
      </c>
      <c r="U152">
        <v>0.72793024778366089</v>
      </c>
      <c r="V152">
        <v>0.21266400814056399</v>
      </c>
      <c r="Y152" t="s">
        <v>84</v>
      </c>
      <c r="Z152">
        <v>83889</v>
      </c>
      <c r="AA152">
        <v>253</v>
      </c>
      <c r="AB152">
        <v>0.30158900451787479</v>
      </c>
      <c r="AC152">
        <v>30.37214885954382</v>
      </c>
      <c r="AD152">
        <v>9.4946488388814032E-5</v>
      </c>
      <c r="AE152">
        <v>0.98433935642242432</v>
      </c>
      <c r="AF152">
        <v>0.6546865701675415</v>
      </c>
      <c r="AG152">
        <v>0.70934897661209106</v>
      </c>
      <c r="AH152">
        <v>0.221174880862236</v>
      </c>
    </row>
    <row r="153" spans="1:35" x14ac:dyDescent="0.35">
      <c r="A153" t="s">
        <v>85</v>
      </c>
      <c r="B153">
        <v>1355046</v>
      </c>
      <c r="C153">
        <v>1170</v>
      </c>
      <c r="D153">
        <v>8.6343932235510817E-2</v>
      </c>
      <c r="E153">
        <v>13.72756071805702</v>
      </c>
      <c r="F153">
        <v>9.4946488388814032E-5</v>
      </c>
      <c r="G153">
        <v>0.98990166187286377</v>
      </c>
      <c r="H153">
        <v>0.33307340741157532</v>
      </c>
      <c r="I153">
        <v>0.168256014585495</v>
      </c>
      <c r="J153">
        <v>0.29871302843093872</v>
      </c>
      <c r="M153" t="s">
        <v>85</v>
      </c>
      <c r="N153">
        <v>276309</v>
      </c>
      <c r="O153">
        <v>376</v>
      </c>
      <c r="P153">
        <v>0.13607953414474369</v>
      </c>
      <c r="Q153">
        <v>12.495845795945501</v>
      </c>
      <c r="R153">
        <v>9.4946488388814032E-5</v>
      </c>
      <c r="S153">
        <v>0.98810464143753052</v>
      </c>
      <c r="T153">
        <v>0.35263162851333618</v>
      </c>
      <c r="U153">
        <v>0.1363189518451691</v>
      </c>
      <c r="V153">
        <v>0.31560418009758001</v>
      </c>
      <c r="Y153" t="s">
        <v>85</v>
      </c>
      <c r="Z153">
        <v>134976</v>
      </c>
      <c r="AA153">
        <v>124</v>
      </c>
      <c r="AB153">
        <v>9.1868183973447121E-2</v>
      </c>
      <c r="AC153">
        <v>14.8859543817527</v>
      </c>
      <c r="AD153">
        <v>9.4946488388814032E-5</v>
      </c>
      <c r="AE153">
        <v>0.98384088277816772</v>
      </c>
      <c r="AF153">
        <v>0.35504710674285889</v>
      </c>
      <c r="AG153">
        <v>0.14403459429740911</v>
      </c>
      <c r="AH153">
        <v>0.3110717236995697</v>
      </c>
    </row>
    <row r="154" spans="1:35" x14ac:dyDescent="0.35">
      <c r="A154" t="s">
        <v>86</v>
      </c>
      <c r="B154">
        <v>1288929</v>
      </c>
      <c r="C154">
        <v>890</v>
      </c>
      <c r="D154">
        <v>6.9049575267528321E-2</v>
      </c>
      <c r="E154">
        <v>10.44233251202628</v>
      </c>
      <c r="F154">
        <v>9.4946488388814032E-5</v>
      </c>
      <c r="G154">
        <v>0.98551547527313232</v>
      </c>
      <c r="H154">
        <v>0.27424067258834839</v>
      </c>
      <c r="I154">
        <v>0.1148004457354546</v>
      </c>
      <c r="J154">
        <v>0.30672234296798712</v>
      </c>
      <c r="M154" t="s">
        <v>86</v>
      </c>
      <c r="N154">
        <v>269315</v>
      </c>
      <c r="O154">
        <v>349</v>
      </c>
      <c r="P154">
        <v>0.129588028888105</v>
      </c>
      <c r="Q154">
        <v>11.598537720172811</v>
      </c>
      <c r="R154">
        <v>2.5671379989944398E-4</v>
      </c>
      <c r="S154">
        <v>0.98897236585617065</v>
      </c>
      <c r="T154">
        <v>0.27832299470901489</v>
      </c>
      <c r="U154">
        <v>0.1100884675979614</v>
      </c>
      <c r="V154">
        <v>0.31142574548721308</v>
      </c>
      <c r="Y154" t="s">
        <v>86</v>
      </c>
      <c r="Z154">
        <v>140018</v>
      </c>
      <c r="AA154">
        <v>81</v>
      </c>
      <c r="AB154">
        <v>5.78497050379237E-2</v>
      </c>
      <c r="AC154">
        <v>9.7238895558223284</v>
      </c>
      <c r="AD154">
        <v>2.5671379989944398E-4</v>
      </c>
      <c r="AE154">
        <v>0.98545330762863159</v>
      </c>
      <c r="AF154">
        <v>0.2876552939414978</v>
      </c>
      <c r="AG154">
        <v>0.1148004457354546</v>
      </c>
      <c r="AH154">
        <v>0.30890846252441412</v>
      </c>
    </row>
    <row r="155" spans="1:35" x14ac:dyDescent="0.35">
      <c r="A155" t="s">
        <v>87</v>
      </c>
      <c r="B155">
        <v>1502999</v>
      </c>
      <c r="C155">
        <v>890</v>
      </c>
      <c r="D155">
        <v>5.9214942924113723E-2</v>
      </c>
      <c r="E155">
        <v>10.44233251202628</v>
      </c>
      <c r="F155">
        <v>3.3097303821705282E-4</v>
      </c>
      <c r="G155">
        <v>0.98481756448745728</v>
      </c>
      <c r="H155">
        <v>0.24749371409416199</v>
      </c>
      <c r="I155">
        <v>8.15458744764328E-2</v>
      </c>
      <c r="J155">
        <v>0.30029317736625671</v>
      </c>
      <c r="M155" t="s">
        <v>87</v>
      </c>
      <c r="N155">
        <v>359678</v>
      </c>
      <c r="O155">
        <v>486</v>
      </c>
      <c r="P155">
        <v>0.13512085810085689</v>
      </c>
      <c r="Q155">
        <v>16.15154536390828</v>
      </c>
      <c r="R155">
        <v>1.665924064582214E-4</v>
      </c>
      <c r="S155">
        <v>0.97915589809417725</v>
      </c>
      <c r="T155">
        <v>0.22296373546123499</v>
      </c>
      <c r="U155">
        <v>6.6759444773197174E-2</v>
      </c>
      <c r="V155">
        <v>0.29236412048339838</v>
      </c>
      <c r="Y155" t="s">
        <v>87</v>
      </c>
      <c r="Z155">
        <v>182378</v>
      </c>
      <c r="AA155">
        <v>61</v>
      </c>
      <c r="AB155">
        <v>3.344701663577844E-2</v>
      </c>
      <c r="AC155">
        <v>7.3229291716686671</v>
      </c>
      <c r="AD155">
        <v>1.665924064582214E-4</v>
      </c>
      <c r="AE155">
        <v>0.97762793302536011</v>
      </c>
      <c r="AF155">
        <v>0.22642965614795679</v>
      </c>
      <c r="AG155">
        <v>5.8938194066286087E-2</v>
      </c>
      <c r="AH155">
        <v>0.29364928603172302</v>
      </c>
    </row>
    <row r="156" spans="1:35" x14ac:dyDescent="0.35">
      <c r="A156" t="s">
        <v>88</v>
      </c>
      <c r="B156">
        <v>1238670</v>
      </c>
      <c r="C156">
        <v>879</v>
      </c>
      <c r="D156">
        <v>7.0963210540337621E-2</v>
      </c>
      <c r="E156">
        <v>10.313269975360789</v>
      </c>
      <c r="F156">
        <v>6.565169314853847E-5</v>
      </c>
      <c r="G156">
        <v>0.98556280136108398</v>
      </c>
      <c r="H156">
        <v>0.25848785042762762</v>
      </c>
      <c r="I156">
        <v>6.9527663290500641E-2</v>
      </c>
      <c r="J156">
        <v>0.31846088171005249</v>
      </c>
      <c r="M156" t="s">
        <v>88</v>
      </c>
      <c r="N156">
        <v>287601</v>
      </c>
      <c r="O156">
        <v>367</v>
      </c>
      <c r="P156">
        <v>0.1276073448979663</v>
      </c>
      <c r="Q156">
        <v>12.196743104021269</v>
      </c>
      <c r="R156">
        <v>7.6599833846557885E-5</v>
      </c>
      <c r="S156">
        <v>0.98366725444793701</v>
      </c>
      <c r="T156">
        <v>0.20585235953330991</v>
      </c>
      <c r="U156">
        <v>5.2857425063848502E-2</v>
      </c>
      <c r="V156">
        <v>0.29027995467185969</v>
      </c>
      <c r="Y156" t="s">
        <v>88</v>
      </c>
      <c r="Z156">
        <v>150772</v>
      </c>
      <c r="AA156">
        <v>59</v>
      </c>
      <c r="AB156">
        <v>3.9131934311410613E-2</v>
      </c>
      <c r="AC156">
        <v>7.0828331332533008</v>
      </c>
      <c r="AD156">
        <v>7.6599833846557885E-5</v>
      </c>
      <c r="AE156">
        <v>0.97999954223632813</v>
      </c>
      <c r="AF156">
        <v>0.20699650049209589</v>
      </c>
      <c r="AG156">
        <v>4.5709013938903809E-2</v>
      </c>
      <c r="AH156">
        <v>0.29019361734390259</v>
      </c>
    </row>
    <row r="157" spans="1:35" x14ac:dyDescent="0.35">
      <c r="A157" t="s">
        <v>89</v>
      </c>
      <c r="B157">
        <v>1741359</v>
      </c>
      <c r="C157">
        <v>1759</v>
      </c>
      <c r="D157">
        <v>0.1010130593404347</v>
      </c>
      <c r="E157">
        <v>20.638272908600261</v>
      </c>
      <c r="F157">
        <v>6.565169314853847E-5</v>
      </c>
      <c r="G157">
        <v>0.98799431324005127</v>
      </c>
      <c r="H157">
        <v>0.30250194668769842</v>
      </c>
      <c r="I157">
        <v>8.1240266561508179E-2</v>
      </c>
      <c r="J157">
        <v>0.3467119038105011</v>
      </c>
      <c r="M157" t="s">
        <v>89</v>
      </c>
      <c r="N157">
        <v>308068</v>
      </c>
      <c r="O157">
        <v>508</v>
      </c>
      <c r="P157">
        <v>0.16489865873768131</v>
      </c>
      <c r="Q157">
        <v>16.88268527750083</v>
      </c>
      <c r="R157">
        <v>6.565169314853847E-5</v>
      </c>
      <c r="S157">
        <v>0.98684132099151611</v>
      </c>
      <c r="T157">
        <v>0.26511642336845398</v>
      </c>
      <c r="U157">
        <v>3.1855229288339608E-2</v>
      </c>
      <c r="V157">
        <v>0.33435487747192377</v>
      </c>
      <c r="Y157" t="s">
        <v>89</v>
      </c>
      <c r="Z157">
        <v>146033</v>
      </c>
      <c r="AA157">
        <v>94</v>
      </c>
      <c r="AB157">
        <v>6.4369012483479759E-2</v>
      </c>
      <c r="AC157">
        <v>11.284513805522209</v>
      </c>
      <c r="AD157">
        <v>6.565169314853847E-5</v>
      </c>
      <c r="AE157">
        <v>0.98008644580841064</v>
      </c>
      <c r="AF157">
        <v>0.27512231469154358</v>
      </c>
      <c r="AG157">
        <v>3.4768294543027878E-2</v>
      </c>
      <c r="AH157">
        <v>0.33534017205238342</v>
      </c>
    </row>
    <row r="158" spans="1:35" x14ac:dyDescent="0.35">
      <c r="A158" t="s">
        <v>90</v>
      </c>
      <c r="B158">
        <v>609605</v>
      </c>
      <c r="C158">
        <v>1101</v>
      </c>
      <c r="D158">
        <v>0.18060875484945171</v>
      </c>
      <c r="E158">
        <v>12.917986624428019</v>
      </c>
      <c r="F158">
        <v>5.1332299335626892E-5</v>
      </c>
      <c r="G158">
        <v>0.987296462059021</v>
      </c>
      <c r="H158">
        <v>0.35680544376373291</v>
      </c>
      <c r="I158">
        <v>0.11872997134923929</v>
      </c>
      <c r="J158">
        <v>0.38053146004676819</v>
      </c>
      <c r="M158" t="s">
        <v>90</v>
      </c>
      <c r="N158">
        <v>296500</v>
      </c>
      <c r="O158">
        <v>366</v>
      </c>
      <c r="P158">
        <v>0.12344013490725129</v>
      </c>
      <c r="Q158">
        <v>12.16350947158524</v>
      </c>
      <c r="R158">
        <v>5.1332299335626892E-5</v>
      </c>
      <c r="S158">
        <v>0.9842495322227478</v>
      </c>
      <c r="T158">
        <v>0.29133754968643188</v>
      </c>
      <c r="U158">
        <v>4.5189343392848969E-2</v>
      </c>
      <c r="V158">
        <v>0.35572433471679688</v>
      </c>
      <c r="Y158" t="s">
        <v>90</v>
      </c>
      <c r="Z158">
        <v>176774</v>
      </c>
      <c r="AA158">
        <v>161</v>
      </c>
      <c r="AB158">
        <v>9.1076742054827062E-2</v>
      </c>
      <c r="AC158">
        <v>19.327731092436981</v>
      </c>
      <c r="AD158">
        <v>5.1332299335626892E-5</v>
      </c>
      <c r="AE158">
        <v>0.9853094220161438</v>
      </c>
      <c r="AF158">
        <v>0.3033466637134552</v>
      </c>
      <c r="AG158">
        <v>5.1934648305177689E-2</v>
      </c>
      <c r="AH158">
        <v>0.35625317692756647</v>
      </c>
    </row>
    <row r="160" spans="1:35" x14ac:dyDescent="0.35">
      <c r="A160" t="s">
        <v>91</v>
      </c>
    </row>
    <row r="161" spans="1:34" x14ac:dyDescent="0.35">
      <c r="A161" t="s">
        <v>50</v>
      </c>
      <c r="M161" t="s">
        <v>51</v>
      </c>
      <c r="Y161" t="s">
        <v>52</v>
      </c>
    </row>
    <row r="162" spans="1:34" s="15" customFormat="1" x14ac:dyDescent="0.35">
      <c r="A162" s="17" t="s">
        <v>83</v>
      </c>
      <c r="B162" s="17" t="s">
        <v>3</v>
      </c>
      <c r="C162" s="17" t="s">
        <v>4</v>
      </c>
      <c r="D162" s="17" t="s">
        <v>5</v>
      </c>
      <c r="E162" s="17" t="s">
        <v>6</v>
      </c>
      <c r="F162" s="17" t="s">
        <v>13</v>
      </c>
      <c r="G162" s="17" t="s">
        <v>8</v>
      </c>
      <c r="H162" s="17" t="s">
        <v>9</v>
      </c>
      <c r="I162" s="17" t="s">
        <v>10</v>
      </c>
      <c r="J162" s="17" t="s">
        <v>11</v>
      </c>
      <c r="M162" s="17" t="s">
        <v>83</v>
      </c>
      <c r="N162" s="17" t="s">
        <v>3</v>
      </c>
      <c r="O162" s="17" t="s">
        <v>4</v>
      </c>
      <c r="P162" s="17" t="s">
        <v>5</v>
      </c>
      <c r="Q162" s="17" t="s">
        <v>6</v>
      </c>
      <c r="R162" s="17" t="s">
        <v>13</v>
      </c>
      <c r="S162" s="17" t="s">
        <v>8</v>
      </c>
      <c r="T162" s="17" t="s">
        <v>9</v>
      </c>
      <c r="U162" s="17" t="s">
        <v>10</v>
      </c>
      <c r="V162" s="17" t="s">
        <v>11</v>
      </c>
      <c r="Y162" s="17" t="s">
        <v>83</v>
      </c>
      <c r="Z162" s="17" t="s">
        <v>3</v>
      </c>
      <c r="AA162" s="17" t="s">
        <v>4</v>
      </c>
      <c r="AB162" s="17" t="s">
        <v>5</v>
      </c>
      <c r="AC162" s="17" t="s">
        <v>6</v>
      </c>
      <c r="AD162" s="17" t="s">
        <v>13</v>
      </c>
      <c r="AE162" s="17" t="s">
        <v>8</v>
      </c>
      <c r="AF162" s="17" t="s">
        <v>9</v>
      </c>
      <c r="AG162" s="17" t="s">
        <v>10</v>
      </c>
      <c r="AH162" s="17" t="s">
        <v>11</v>
      </c>
    </row>
    <row r="163" spans="1:34" x14ac:dyDescent="0.35">
      <c r="A163" t="s">
        <v>84</v>
      </c>
      <c r="B163">
        <v>366841</v>
      </c>
      <c r="C163">
        <v>1053</v>
      </c>
      <c r="D163">
        <v>0.28704534116960762</v>
      </c>
      <c r="E163">
        <v>14.816378218657659</v>
      </c>
      <c r="F163">
        <v>1.665924064582214E-4</v>
      </c>
      <c r="G163">
        <v>0.98912930488586426</v>
      </c>
      <c r="H163">
        <v>0.67653495073318481</v>
      </c>
      <c r="I163">
        <v>0.73199975490570068</v>
      </c>
      <c r="J163">
        <v>0.21096764504909521</v>
      </c>
      <c r="M163" t="s">
        <v>84</v>
      </c>
      <c r="N163">
        <v>122756</v>
      </c>
      <c r="O163">
        <v>402</v>
      </c>
      <c r="P163">
        <v>0.3274789012349702</v>
      </c>
      <c r="Q163">
        <v>14.34689507494647</v>
      </c>
      <c r="R163">
        <v>1.665924064582214E-4</v>
      </c>
      <c r="S163">
        <v>0.98515468835830688</v>
      </c>
      <c r="T163">
        <v>0.70897901058197021</v>
      </c>
      <c r="U163">
        <v>0.74322742223739624</v>
      </c>
      <c r="V163">
        <v>0.1758183687925339</v>
      </c>
      <c r="Y163" t="s">
        <v>84</v>
      </c>
      <c r="Z163">
        <v>63018</v>
      </c>
      <c r="AA163">
        <v>180</v>
      </c>
      <c r="AB163">
        <v>0.28563267637817769</v>
      </c>
      <c r="AC163">
        <v>24.32432432432433</v>
      </c>
      <c r="AD163">
        <v>1.665924064582214E-4</v>
      </c>
      <c r="AE163">
        <v>0.98433935642242432</v>
      </c>
      <c r="AF163">
        <v>0.6815565824508667</v>
      </c>
      <c r="AG163">
        <v>0.72125452756881714</v>
      </c>
      <c r="AH163">
        <v>0.19258423149585721</v>
      </c>
    </row>
    <row r="164" spans="1:34" x14ac:dyDescent="0.35">
      <c r="A164" t="s">
        <v>85</v>
      </c>
      <c r="B164">
        <v>429623</v>
      </c>
      <c r="C164">
        <v>824</v>
      </c>
      <c r="D164">
        <v>0.1917960630599386</v>
      </c>
      <c r="E164">
        <v>11.594202898550719</v>
      </c>
      <c r="F164">
        <v>1.665924064582214E-4</v>
      </c>
      <c r="G164">
        <v>0.98990166187286377</v>
      </c>
      <c r="H164">
        <v>0.5834428071975708</v>
      </c>
      <c r="I164">
        <v>0.6802361011505127</v>
      </c>
      <c r="J164">
        <v>0.28317099809646612</v>
      </c>
      <c r="M164" t="s">
        <v>85</v>
      </c>
      <c r="N164">
        <v>121836</v>
      </c>
      <c r="O164">
        <v>354</v>
      </c>
      <c r="P164">
        <v>0.29055451590662862</v>
      </c>
      <c r="Q164">
        <v>12.633832976445399</v>
      </c>
      <c r="R164">
        <v>1.665924064582214E-4</v>
      </c>
      <c r="S164">
        <v>0.98397314548492432</v>
      </c>
      <c r="T164">
        <v>0.6339225172996521</v>
      </c>
      <c r="U164">
        <v>0.69806301593780518</v>
      </c>
      <c r="V164">
        <v>0.24397604167461401</v>
      </c>
      <c r="Y164" t="s">
        <v>85</v>
      </c>
      <c r="Z164">
        <v>64642</v>
      </c>
      <c r="AA164">
        <v>115</v>
      </c>
      <c r="AB164">
        <v>0.17790291141982001</v>
      </c>
      <c r="AC164">
        <v>15.54054054054054</v>
      </c>
      <c r="AD164">
        <v>1.665924064582214E-4</v>
      </c>
      <c r="AE164">
        <v>0.98384088277816772</v>
      </c>
      <c r="AF164">
        <v>0.60969245433807373</v>
      </c>
      <c r="AG164">
        <v>0.67265748977661133</v>
      </c>
      <c r="AH164">
        <v>0.2435002475976944</v>
      </c>
    </row>
    <row r="165" spans="1:34" x14ac:dyDescent="0.35">
      <c r="A165" t="s">
        <v>86</v>
      </c>
      <c r="B165">
        <v>904948</v>
      </c>
      <c r="C165">
        <v>825</v>
      </c>
      <c r="D165">
        <v>9.1165459230806628E-2</v>
      </c>
      <c r="E165">
        <v>11.608273533136339</v>
      </c>
      <c r="F165">
        <v>1.665924064582214E-4</v>
      </c>
      <c r="G165">
        <v>0.98551547527313232</v>
      </c>
      <c r="H165">
        <v>0.33046934008598328</v>
      </c>
      <c r="I165">
        <v>0.15454310178756711</v>
      </c>
      <c r="J165">
        <v>0.32944998145103449</v>
      </c>
      <c r="M165" t="s">
        <v>86</v>
      </c>
      <c r="N165">
        <v>165298</v>
      </c>
      <c r="O165">
        <v>332</v>
      </c>
      <c r="P165">
        <v>0.20084937506805889</v>
      </c>
      <c r="Q165">
        <v>11.8486795146324</v>
      </c>
      <c r="R165">
        <v>9.376911330036819E-4</v>
      </c>
      <c r="S165">
        <v>0.98897236585617065</v>
      </c>
      <c r="T165">
        <v>0.38906621932983398</v>
      </c>
      <c r="U165">
        <v>0.36609688401222229</v>
      </c>
      <c r="V165">
        <v>0.34201011061668402</v>
      </c>
      <c r="Y165" t="s">
        <v>86</v>
      </c>
      <c r="Z165">
        <v>81127</v>
      </c>
      <c r="AA165">
        <v>77</v>
      </c>
      <c r="AB165">
        <v>9.4912914319523714E-2</v>
      </c>
      <c r="AC165">
        <v>10.405405405405411</v>
      </c>
      <c r="AD165">
        <v>4.4516025809571152E-4</v>
      </c>
      <c r="AE165">
        <v>0.98545330762863159</v>
      </c>
      <c r="AF165">
        <v>0.42738378047943121</v>
      </c>
      <c r="AG165">
        <v>0.4965231716632843</v>
      </c>
      <c r="AH165">
        <v>0.33007135987281799</v>
      </c>
    </row>
    <row r="166" spans="1:34" x14ac:dyDescent="0.35">
      <c r="A166" t="s">
        <v>87</v>
      </c>
      <c r="B166">
        <v>634668</v>
      </c>
      <c r="C166">
        <v>757</v>
      </c>
      <c r="D166">
        <v>0.1192749595063876</v>
      </c>
      <c r="E166">
        <v>10.6514703813142</v>
      </c>
      <c r="F166">
        <v>3.3097303821705282E-4</v>
      </c>
      <c r="G166">
        <v>0.9840083122253418</v>
      </c>
      <c r="H166">
        <v>0.44265386462211609</v>
      </c>
      <c r="I166">
        <v>0.50503921508789063</v>
      </c>
      <c r="J166">
        <v>0.32970106601715088</v>
      </c>
      <c r="M166" t="s">
        <v>87</v>
      </c>
      <c r="N166">
        <v>179276</v>
      </c>
      <c r="O166">
        <v>478</v>
      </c>
      <c r="P166">
        <v>0.26662799259242731</v>
      </c>
      <c r="Q166">
        <v>17.059243397573159</v>
      </c>
      <c r="R166">
        <v>1.665924064582214E-4</v>
      </c>
      <c r="S166">
        <v>0.97915589809417725</v>
      </c>
      <c r="T166">
        <v>0.38139128684997559</v>
      </c>
      <c r="U166">
        <v>0.37532466650009161</v>
      </c>
      <c r="V166">
        <v>0.3359353244304657</v>
      </c>
      <c r="Y166" t="s">
        <v>87</v>
      </c>
      <c r="Z166">
        <v>99642</v>
      </c>
      <c r="AA166">
        <v>58</v>
      </c>
      <c r="AB166">
        <v>5.8208386021958623E-2</v>
      </c>
      <c r="AC166">
        <v>7.8378378378378386</v>
      </c>
      <c r="AD166">
        <v>1.665924064582214E-4</v>
      </c>
      <c r="AE166">
        <v>0.97762793302536011</v>
      </c>
      <c r="AF166">
        <v>0.36400744318962103</v>
      </c>
      <c r="AG166">
        <v>0.32514846324920649</v>
      </c>
      <c r="AH166">
        <v>0.33130306005477911</v>
      </c>
    </row>
    <row r="167" spans="1:34" x14ac:dyDescent="0.35">
      <c r="A167" t="s">
        <v>88</v>
      </c>
      <c r="B167">
        <v>711746</v>
      </c>
      <c r="C167">
        <v>820</v>
      </c>
      <c r="D167">
        <v>0.11520963939382869</v>
      </c>
      <c r="E167">
        <v>11.537920360208251</v>
      </c>
      <c r="F167">
        <v>1.3440323527902359E-4</v>
      </c>
      <c r="G167">
        <v>0.98469191789627075</v>
      </c>
      <c r="H167">
        <v>0.3905387818813324</v>
      </c>
      <c r="I167">
        <v>0.37367594242095947</v>
      </c>
      <c r="J167">
        <v>0.34170487523078918</v>
      </c>
      <c r="M167" t="s">
        <v>88</v>
      </c>
      <c r="N167">
        <v>133262</v>
      </c>
      <c r="O167">
        <v>365</v>
      </c>
      <c r="P167">
        <v>0.27389653464603558</v>
      </c>
      <c r="Q167">
        <v>13.02640970735189</v>
      </c>
      <c r="R167">
        <v>1.6599446826148781E-4</v>
      </c>
      <c r="S167">
        <v>0.98366725444793701</v>
      </c>
      <c r="T167">
        <v>0.38339152932167048</v>
      </c>
      <c r="U167">
        <v>0.40062981843948359</v>
      </c>
      <c r="V167">
        <v>0.33862593770027161</v>
      </c>
      <c r="Y167" t="s">
        <v>88</v>
      </c>
      <c r="Z167">
        <v>69070</v>
      </c>
      <c r="AA167">
        <v>59</v>
      </c>
      <c r="AB167">
        <v>8.5420587809468651E-2</v>
      </c>
      <c r="AC167">
        <v>7.9729729729729737</v>
      </c>
      <c r="AD167">
        <v>1.6599446826148781E-4</v>
      </c>
      <c r="AE167">
        <v>0.97999954223632813</v>
      </c>
      <c r="AF167">
        <v>0.39539855718612671</v>
      </c>
      <c r="AG167">
        <v>0.45331233739852911</v>
      </c>
      <c r="AH167">
        <v>0.33300304412841802</v>
      </c>
    </row>
    <row r="168" spans="1:34" x14ac:dyDescent="0.35">
      <c r="A168" t="s">
        <v>89</v>
      </c>
      <c r="B168">
        <v>1412241</v>
      </c>
      <c r="C168">
        <v>1729</v>
      </c>
      <c r="D168">
        <v>0.1224295286710979</v>
      </c>
      <c r="E168">
        <v>24.328127198536649</v>
      </c>
      <c r="F168">
        <v>1.1519428517203779E-4</v>
      </c>
      <c r="G168">
        <v>0.98799431324005127</v>
      </c>
      <c r="H168">
        <v>0.35630223155021667</v>
      </c>
      <c r="I168">
        <v>0.20449367165565491</v>
      </c>
      <c r="J168">
        <v>0.35399609804153442</v>
      </c>
      <c r="M168" t="s">
        <v>89</v>
      </c>
      <c r="N168">
        <v>236302</v>
      </c>
      <c r="O168">
        <v>507</v>
      </c>
      <c r="P168">
        <v>0.21455594958993149</v>
      </c>
      <c r="Q168">
        <v>18.094218415417561</v>
      </c>
      <c r="R168">
        <v>1.3440323527902359E-4</v>
      </c>
      <c r="S168">
        <v>0.98684132099151611</v>
      </c>
      <c r="T168">
        <v>0.33677735924720759</v>
      </c>
      <c r="U168">
        <v>0.14209350943565369</v>
      </c>
      <c r="V168">
        <v>0.34774667024612432</v>
      </c>
      <c r="Y168" t="s">
        <v>89</v>
      </c>
      <c r="Z168">
        <v>111653</v>
      </c>
      <c r="AA168">
        <v>91</v>
      </c>
      <c r="AB168">
        <v>8.1502512247767639E-2</v>
      </c>
      <c r="AC168">
        <v>12.2972972972973</v>
      </c>
      <c r="AD168">
        <v>1.3440323527902359E-4</v>
      </c>
      <c r="AE168">
        <v>0.98008644580841064</v>
      </c>
      <c r="AF168">
        <v>0.35135191679000849</v>
      </c>
      <c r="AG168">
        <v>0.24050614237785339</v>
      </c>
      <c r="AH168">
        <v>0.3461214005947113</v>
      </c>
    </row>
    <row r="169" spans="1:34" x14ac:dyDescent="0.35">
      <c r="A169" t="s">
        <v>90</v>
      </c>
      <c r="B169">
        <v>525335</v>
      </c>
      <c r="C169">
        <v>1099</v>
      </c>
      <c r="D169">
        <v>0.20919984390912469</v>
      </c>
      <c r="E169">
        <v>15.463627409596169</v>
      </c>
      <c r="F169">
        <v>1.1519428517203779E-4</v>
      </c>
      <c r="G169">
        <v>0.987296462059021</v>
      </c>
      <c r="H169">
        <v>0.40307185053825378</v>
      </c>
      <c r="I169">
        <v>0.31335026025772089</v>
      </c>
      <c r="J169">
        <v>0.38493719696998602</v>
      </c>
      <c r="M169" t="s">
        <v>90</v>
      </c>
      <c r="N169">
        <v>252759</v>
      </c>
      <c r="O169">
        <v>364</v>
      </c>
      <c r="P169">
        <v>0.14401069793756111</v>
      </c>
      <c r="Q169">
        <v>12.990720913633121</v>
      </c>
      <c r="R169">
        <v>1.1519428517203779E-4</v>
      </c>
      <c r="S169">
        <v>0.9842495322227478</v>
      </c>
      <c r="T169">
        <v>0.33400774002075201</v>
      </c>
      <c r="U169">
        <v>9.3292862176895142E-2</v>
      </c>
      <c r="V169">
        <v>0.36535713076591492</v>
      </c>
      <c r="Y169" t="s">
        <v>90</v>
      </c>
      <c r="Z169">
        <v>151299</v>
      </c>
      <c r="AA169">
        <v>160</v>
      </c>
      <c r="AB169">
        <v>0.1057508641828432</v>
      </c>
      <c r="AC169">
        <v>21.621621621621621</v>
      </c>
      <c r="AD169">
        <v>1.1519428517203779E-4</v>
      </c>
      <c r="AE169">
        <v>0.9853094220161438</v>
      </c>
      <c r="AF169">
        <v>0.34786126017570501</v>
      </c>
      <c r="AG169">
        <v>0.1231350973248482</v>
      </c>
      <c r="AH169">
        <v>0.36391100287437439</v>
      </c>
    </row>
    <row r="171" spans="1:34" x14ac:dyDescent="0.35">
      <c r="A171" t="s">
        <v>92</v>
      </c>
    </row>
    <row r="172" spans="1:34" x14ac:dyDescent="0.35">
      <c r="A172" t="s">
        <v>50</v>
      </c>
      <c r="M172" t="s">
        <v>51</v>
      </c>
      <c r="Y172" t="s">
        <v>52</v>
      </c>
    </row>
    <row r="173" spans="1:34" s="15" customFormat="1" x14ac:dyDescent="0.35">
      <c r="A173" s="17" t="s">
        <v>83</v>
      </c>
      <c r="B173" s="17" t="s">
        <v>3</v>
      </c>
      <c r="C173" s="17" t="s">
        <v>4</v>
      </c>
      <c r="D173" s="17" t="s">
        <v>5</v>
      </c>
      <c r="E173" s="17" t="s">
        <v>6</v>
      </c>
      <c r="F173" s="17" t="s">
        <v>13</v>
      </c>
      <c r="G173" s="17" t="s">
        <v>8</v>
      </c>
      <c r="H173" s="17" t="s">
        <v>9</v>
      </c>
      <c r="I173" s="17" t="s">
        <v>10</v>
      </c>
      <c r="J173" s="17" t="s">
        <v>11</v>
      </c>
      <c r="M173" s="17" t="s">
        <v>83</v>
      </c>
      <c r="N173" s="17" t="s">
        <v>3</v>
      </c>
      <c r="O173" s="17" t="s">
        <v>4</v>
      </c>
      <c r="P173" s="17" t="s">
        <v>5</v>
      </c>
      <c r="Q173" s="17" t="s">
        <v>6</v>
      </c>
      <c r="R173" s="17" t="s">
        <v>13</v>
      </c>
      <c r="S173" s="17" t="s">
        <v>8</v>
      </c>
      <c r="T173" s="17" t="s">
        <v>9</v>
      </c>
      <c r="U173" s="17" t="s">
        <v>10</v>
      </c>
      <c r="V173" s="17" t="s">
        <v>11</v>
      </c>
      <c r="Y173" s="17" t="s">
        <v>83</v>
      </c>
      <c r="Z173" s="17" t="s">
        <v>3</v>
      </c>
      <c r="AA173" s="17" t="s">
        <v>4</v>
      </c>
      <c r="AB173" s="17" t="s">
        <v>5</v>
      </c>
      <c r="AC173" s="17" t="s">
        <v>6</v>
      </c>
      <c r="AD173" s="17" t="s">
        <v>13</v>
      </c>
      <c r="AE173" s="17" t="s">
        <v>8</v>
      </c>
      <c r="AF173" s="17" t="s">
        <v>9</v>
      </c>
      <c r="AG173" s="17" t="s">
        <v>10</v>
      </c>
      <c r="AH173" s="17" t="s">
        <v>11</v>
      </c>
    </row>
    <row r="174" spans="1:34" x14ac:dyDescent="0.35">
      <c r="A174" t="s">
        <v>84</v>
      </c>
      <c r="B174">
        <v>359838</v>
      </c>
      <c r="C174">
        <v>781</v>
      </c>
      <c r="D174">
        <v>0.21704211339547241</v>
      </c>
      <c r="E174">
        <v>55.155367231638422</v>
      </c>
      <c r="F174">
        <v>9.4946488388814032E-5</v>
      </c>
      <c r="G174">
        <v>0.98530662059783936</v>
      </c>
      <c r="H174">
        <v>0.46855217218399048</v>
      </c>
      <c r="I174">
        <v>0.43174764513969421</v>
      </c>
      <c r="J174">
        <v>0.28657945990562439</v>
      </c>
      <c r="M174" t="s">
        <v>84</v>
      </c>
      <c r="N174">
        <v>38369</v>
      </c>
      <c r="O174">
        <v>155</v>
      </c>
      <c r="P174">
        <v>0.40397195652740497</v>
      </c>
      <c r="Q174">
        <v>74.879227053140099</v>
      </c>
      <c r="R174">
        <v>9.4946488388814032E-5</v>
      </c>
      <c r="S174">
        <v>0.97982317209243774</v>
      </c>
      <c r="T174">
        <v>0.5692138671875</v>
      </c>
      <c r="U174">
        <v>0.62473553419113159</v>
      </c>
      <c r="V174">
        <v>0.27593511343002319</v>
      </c>
      <c r="Y174" t="s">
        <v>84</v>
      </c>
      <c r="Z174">
        <v>20871</v>
      </c>
      <c r="AA174">
        <v>73</v>
      </c>
      <c r="AB174">
        <v>0.34976762014278179</v>
      </c>
      <c r="AC174">
        <v>78.494623655913969</v>
      </c>
      <c r="AD174">
        <v>9.4946488388814032E-5</v>
      </c>
      <c r="AE174">
        <v>0.97847658395767212</v>
      </c>
      <c r="AF174">
        <v>0.57355481386184692</v>
      </c>
      <c r="AG174">
        <v>0.64676308631896973</v>
      </c>
      <c r="AH174">
        <v>0.2754586935043335</v>
      </c>
    </row>
    <row r="175" spans="1:34" x14ac:dyDescent="0.35">
      <c r="A175" t="s">
        <v>85</v>
      </c>
      <c r="B175">
        <v>925423</v>
      </c>
      <c r="C175">
        <v>346</v>
      </c>
      <c r="D175">
        <v>3.7388307833282723E-2</v>
      </c>
      <c r="E175">
        <v>24.435028248587571</v>
      </c>
      <c r="F175">
        <v>9.4946488388814032E-5</v>
      </c>
      <c r="G175">
        <v>0.98443281650543213</v>
      </c>
      <c r="H175">
        <v>0.2168407887220383</v>
      </c>
      <c r="I175">
        <v>0.11776838451623919</v>
      </c>
      <c r="J175">
        <v>0.2254258990287781</v>
      </c>
      <c r="M175" t="s">
        <v>85</v>
      </c>
      <c r="N175">
        <v>154473</v>
      </c>
      <c r="O175">
        <v>22</v>
      </c>
      <c r="P175">
        <v>1.424197108879869E-2</v>
      </c>
      <c r="Q175">
        <v>10.6280193236715</v>
      </c>
      <c r="R175">
        <v>9.4946488388814032E-5</v>
      </c>
      <c r="S175">
        <v>0.98810464143753052</v>
      </c>
      <c r="T175">
        <v>0.1307716369628906</v>
      </c>
      <c r="U175">
        <v>9.5990002155303955E-2</v>
      </c>
      <c r="V175">
        <v>0.13996456563472751</v>
      </c>
      <c r="Y175" t="s">
        <v>85</v>
      </c>
      <c r="Z175">
        <v>70334</v>
      </c>
      <c r="AA175">
        <v>9</v>
      </c>
      <c r="AB175">
        <v>1.2796087240879229E-2</v>
      </c>
      <c r="AC175">
        <v>9.67741935483871</v>
      </c>
      <c r="AD175">
        <v>9.4946488388814032E-5</v>
      </c>
      <c r="AE175">
        <v>0.97358423471450806</v>
      </c>
      <c r="AF175">
        <v>0.12100978940725329</v>
      </c>
      <c r="AG175">
        <v>9.1869823634624481E-2</v>
      </c>
      <c r="AH175">
        <v>0.1297534704208374</v>
      </c>
    </row>
    <row r="176" spans="1:34" x14ac:dyDescent="0.35">
      <c r="A176" t="s">
        <v>86</v>
      </c>
      <c r="B176">
        <v>383981</v>
      </c>
      <c r="C176">
        <v>65</v>
      </c>
      <c r="D176">
        <v>1.69279209127535E-2</v>
      </c>
      <c r="E176">
        <v>4.5903954802259888</v>
      </c>
      <c r="F176">
        <v>9.4946488388814032E-5</v>
      </c>
      <c r="G176">
        <v>0.98472654819488525</v>
      </c>
      <c r="H176">
        <v>0.14172358810901639</v>
      </c>
      <c r="I176">
        <v>9.3264080584049225E-2</v>
      </c>
      <c r="J176">
        <v>0.1870591789484024</v>
      </c>
      <c r="M176" t="s">
        <v>86</v>
      </c>
      <c r="N176">
        <v>104017</v>
      </c>
      <c r="O176">
        <v>17</v>
      </c>
      <c r="P176">
        <v>1.6343482315390751E-2</v>
      </c>
      <c r="Q176">
        <v>8.2125603864734309</v>
      </c>
      <c r="R176">
        <v>2.5671379989944398E-4</v>
      </c>
      <c r="S176">
        <v>0.97851061820983887</v>
      </c>
      <c r="T176">
        <v>0.10233598202466961</v>
      </c>
      <c r="U176">
        <v>9.1869823634624481E-2</v>
      </c>
      <c r="V176">
        <v>0.1215179041028023</v>
      </c>
      <c r="Y176" t="s">
        <v>86</v>
      </c>
      <c r="Z176">
        <v>58891</v>
      </c>
      <c r="AA176">
        <v>4</v>
      </c>
      <c r="AB176">
        <v>6.7922093358917324E-3</v>
      </c>
      <c r="AC176">
        <v>4.3010752688172049</v>
      </c>
      <c r="AD176">
        <v>2.5671379989944398E-4</v>
      </c>
      <c r="AE176">
        <v>0.96189033985137939</v>
      </c>
      <c r="AF176">
        <v>9.5168374478816986E-2</v>
      </c>
      <c r="AG176">
        <v>8.1059060990810394E-2</v>
      </c>
      <c r="AH176">
        <v>0.1133544594049454</v>
      </c>
    </row>
    <row r="177" spans="1:35" x14ac:dyDescent="0.35">
      <c r="A177" t="s">
        <v>87</v>
      </c>
      <c r="B177">
        <v>868331</v>
      </c>
      <c r="C177">
        <v>133</v>
      </c>
      <c r="D177">
        <v>1.5316739814655931E-2</v>
      </c>
      <c r="E177">
        <v>9.3926553672316384</v>
      </c>
      <c r="F177">
        <v>5.0503492821007967E-4</v>
      </c>
      <c r="G177">
        <v>0.98481756448745728</v>
      </c>
      <c r="H177">
        <v>0.104850172996521</v>
      </c>
      <c r="I177">
        <v>5.1770593971014023E-2</v>
      </c>
      <c r="J177">
        <v>0.1686687767505646</v>
      </c>
      <c r="M177" t="s">
        <v>87</v>
      </c>
      <c r="N177">
        <v>180402</v>
      </c>
      <c r="O177">
        <v>8</v>
      </c>
      <c r="P177">
        <v>4.4345406370217624E-3</v>
      </c>
      <c r="Q177">
        <v>3.8647342995169081</v>
      </c>
      <c r="R177">
        <v>5.0503492821007967E-4</v>
      </c>
      <c r="S177">
        <v>0.97141885757446289</v>
      </c>
      <c r="T177">
        <v>6.5524861216545105E-2</v>
      </c>
      <c r="U177">
        <v>4.4979386031627662E-2</v>
      </c>
      <c r="V177">
        <v>9.2425443232059479E-2</v>
      </c>
      <c r="Y177" t="s">
        <v>87</v>
      </c>
      <c r="Z177">
        <v>82736</v>
      </c>
      <c r="AA177">
        <v>3</v>
      </c>
      <c r="AB177">
        <v>3.6259911042351581E-3</v>
      </c>
      <c r="AC177">
        <v>3.225806451612903</v>
      </c>
      <c r="AD177">
        <v>5.0503492821007967E-4</v>
      </c>
      <c r="AE177">
        <v>0.96449404954910278</v>
      </c>
      <c r="AF177">
        <v>6.0739725828170783E-2</v>
      </c>
      <c r="AG177">
        <v>4.2061034590005868E-2</v>
      </c>
      <c r="AH177">
        <v>8.7416358292102814E-2</v>
      </c>
      <c r="AI177" s="15"/>
    </row>
    <row r="178" spans="1:35" x14ac:dyDescent="0.35">
      <c r="A178" t="s">
        <v>88</v>
      </c>
      <c r="B178">
        <v>526924</v>
      </c>
      <c r="C178">
        <v>59</v>
      </c>
      <c r="D178">
        <v>1.119706067668203E-2</v>
      </c>
      <c r="E178">
        <v>4.1666666666666661</v>
      </c>
      <c r="F178">
        <v>6.565169314853847E-5</v>
      </c>
      <c r="G178">
        <v>0.98556280136108398</v>
      </c>
      <c r="H178">
        <v>8.011908084154129E-2</v>
      </c>
      <c r="I178">
        <v>2.4910196661949161E-2</v>
      </c>
      <c r="J178">
        <v>0.1591258496046066</v>
      </c>
      <c r="M178" t="s">
        <v>88</v>
      </c>
      <c r="N178">
        <v>154339</v>
      </c>
      <c r="O178">
        <v>2</v>
      </c>
      <c r="P178">
        <v>1.2958487485340709E-3</v>
      </c>
      <c r="Q178">
        <v>0.96618357487922701</v>
      </c>
      <c r="R178">
        <v>7.6599833846557885E-5</v>
      </c>
      <c r="S178">
        <v>0.98292058706283569</v>
      </c>
      <c r="T178">
        <v>5.2558500319719308E-2</v>
      </c>
      <c r="U178">
        <v>2.7489243075251579E-2</v>
      </c>
      <c r="V178">
        <v>8.5411861538887024E-2</v>
      </c>
      <c r="Y178" t="s">
        <v>88</v>
      </c>
      <c r="Z178">
        <v>81702</v>
      </c>
      <c r="AA178">
        <v>0</v>
      </c>
      <c r="AB178">
        <v>0</v>
      </c>
      <c r="AC178">
        <v>0</v>
      </c>
      <c r="AD178">
        <v>7.6599833846557885E-5</v>
      </c>
      <c r="AE178">
        <v>0.97940057516098022</v>
      </c>
      <c r="AF178">
        <v>4.7723427414894097E-2</v>
      </c>
      <c r="AG178">
        <v>2.4910196661949161E-2</v>
      </c>
      <c r="AH178">
        <v>7.9268999397754669E-2</v>
      </c>
    </row>
    <row r="179" spans="1:35" x14ac:dyDescent="0.35">
      <c r="A179" t="s">
        <v>89</v>
      </c>
      <c r="B179">
        <v>329118</v>
      </c>
      <c r="C179">
        <v>30</v>
      </c>
      <c r="D179">
        <v>9.1152717262501601E-3</v>
      </c>
      <c r="E179">
        <v>2.1186440677966099</v>
      </c>
      <c r="F179">
        <v>6.565169314853847E-5</v>
      </c>
      <c r="G179">
        <v>0.9805448055267334</v>
      </c>
      <c r="H179">
        <v>7.164638489484787E-2</v>
      </c>
      <c r="I179">
        <v>6.3635676633566618E-4</v>
      </c>
      <c r="J179">
        <v>0.1805360019207001</v>
      </c>
      <c r="M179" t="s">
        <v>89</v>
      </c>
      <c r="N179">
        <v>71766</v>
      </c>
      <c r="O179">
        <v>1</v>
      </c>
      <c r="P179">
        <v>1.3934174957500769E-3</v>
      </c>
      <c r="Q179">
        <v>0.48309178743961351</v>
      </c>
      <c r="R179">
        <v>6.565169314853847E-5</v>
      </c>
      <c r="S179">
        <v>0.97747290134429932</v>
      </c>
      <c r="T179">
        <v>2.9160663485527039E-2</v>
      </c>
      <c r="U179">
        <v>4.0747853927314281E-4</v>
      </c>
      <c r="V179">
        <v>9.5563307404518127E-2</v>
      </c>
      <c r="Y179" t="s">
        <v>89</v>
      </c>
      <c r="Z179">
        <v>34380</v>
      </c>
      <c r="AA179">
        <v>3</v>
      </c>
      <c r="AB179">
        <v>8.7260034904013961E-3</v>
      </c>
      <c r="AC179">
        <v>3.225806451612903</v>
      </c>
      <c r="AD179">
        <v>6.565169314853847E-5</v>
      </c>
      <c r="AE179">
        <v>0.97473609447479248</v>
      </c>
      <c r="AF179">
        <v>2.7557967230677601E-2</v>
      </c>
      <c r="AG179">
        <v>4.0747853927314281E-4</v>
      </c>
      <c r="AH179">
        <v>9.1833867132663727E-2</v>
      </c>
    </row>
    <row r="180" spans="1:35" x14ac:dyDescent="0.35">
      <c r="A180" t="s">
        <v>90</v>
      </c>
      <c r="B180">
        <v>84270</v>
      </c>
      <c r="C180">
        <v>2</v>
      </c>
      <c r="D180">
        <v>2.3733238400379729E-3</v>
      </c>
      <c r="E180">
        <v>0.14124293785310729</v>
      </c>
      <c r="F180">
        <v>5.1332299335626892E-5</v>
      </c>
      <c r="G180">
        <v>0.97917091846466064</v>
      </c>
      <c r="H180">
        <v>6.8382978439331055E-2</v>
      </c>
      <c r="I180">
        <v>8.0021057510748506E-4</v>
      </c>
      <c r="J180">
        <v>0.1650725603103638</v>
      </c>
      <c r="M180" t="s">
        <v>90</v>
      </c>
      <c r="N180">
        <v>43741</v>
      </c>
      <c r="O180">
        <v>2</v>
      </c>
      <c r="P180">
        <v>4.5723691730870358E-3</v>
      </c>
      <c r="Q180">
        <v>0.96618357487922701</v>
      </c>
      <c r="R180">
        <v>5.1332299335626892E-5</v>
      </c>
      <c r="S180">
        <v>0.9749794602394104</v>
      </c>
      <c r="T180">
        <v>4.4765722006559372E-2</v>
      </c>
      <c r="U180">
        <v>6.3635676633566618E-4</v>
      </c>
      <c r="V180">
        <v>0.1228147074580193</v>
      </c>
      <c r="Y180" t="s">
        <v>90</v>
      </c>
      <c r="Z180">
        <v>25475</v>
      </c>
      <c r="AA180">
        <v>1</v>
      </c>
      <c r="AB180">
        <v>3.9254170755642784E-3</v>
      </c>
      <c r="AC180">
        <v>1.075268817204301</v>
      </c>
      <c r="AD180">
        <v>5.1332299335626892E-5</v>
      </c>
      <c r="AE180">
        <v>0.96724361181259155</v>
      </c>
      <c r="AF180">
        <v>3.896915540099144E-2</v>
      </c>
      <c r="AG180">
        <v>6.3635676633566618E-4</v>
      </c>
      <c r="AH180">
        <v>0.11180085688829421</v>
      </c>
    </row>
  </sheetData>
  <phoneticPr fontId="8" type="noConversion"/>
  <pageMargins left="0.7" right="0.7" top="0.75" bottom="0.75" header="0.3" footer="0.3"/>
  <headerFooter>
    <oddFooter>&amp;C_x000D_&amp;1#&amp;"Aptos"&amp;12&amp;K008000 Public</oddFooter>
  </headerFooter>
  <drawing r:id="rId1"/>
  <tableParts count="38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803D-110A-4B67-854C-5415B90D4B31}">
  <dimension ref="I4:AA73"/>
  <sheetViews>
    <sheetView topLeftCell="B1" workbookViewId="0">
      <selection activeCell="AA63" sqref="AA63:AA72"/>
    </sheetView>
  </sheetViews>
  <sheetFormatPr defaultRowHeight="14.5" x14ac:dyDescent="0.35"/>
  <cols>
    <col min="11" max="11" width="10.453125" bestFit="1" customWidth="1"/>
    <col min="12" max="12" width="11.26953125" bestFit="1" customWidth="1"/>
    <col min="13" max="13" width="17.81640625" bestFit="1" customWidth="1"/>
    <col min="14" max="14" width="15.1796875" bestFit="1" customWidth="1"/>
    <col min="15" max="15" width="21.453125" bestFit="1" customWidth="1"/>
    <col min="16" max="16" width="21.1796875" bestFit="1" customWidth="1"/>
    <col min="17" max="17" width="21.453125" bestFit="1" customWidth="1"/>
    <col min="18" max="18" width="22.7265625" bestFit="1" customWidth="1"/>
    <col min="19" max="19" width="24.26953125" bestFit="1" customWidth="1"/>
    <col min="20" max="20" width="20.54296875" bestFit="1" customWidth="1"/>
    <col min="21" max="21" width="12.54296875" customWidth="1"/>
    <col min="22" max="22" width="19" customWidth="1"/>
    <col min="23" max="23" width="18.453125" customWidth="1"/>
    <col min="24" max="24" width="18.7265625" customWidth="1"/>
    <col min="25" max="25" width="14.54296875" customWidth="1"/>
    <col min="26" max="26" width="28.453125" customWidth="1"/>
  </cols>
  <sheetData>
    <row r="4" spans="14:24" x14ac:dyDescent="0.35">
      <c r="N4" s="1" t="s">
        <v>53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13</v>
      </c>
      <c r="T4" s="1" t="s">
        <v>8</v>
      </c>
      <c r="U4" s="1" t="s">
        <v>9</v>
      </c>
      <c r="V4" s="1" t="s">
        <v>10</v>
      </c>
      <c r="W4" s="1" t="s">
        <v>11</v>
      </c>
      <c r="X4" s="1" t="s">
        <v>54</v>
      </c>
    </row>
    <row r="5" spans="14:24" x14ac:dyDescent="0.35">
      <c r="N5">
        <v>1</v>
      </c>
      <c r="O5">
        <v>846329</v>
      </c>
      <c r="P5">
        <v>5281</v>
      </c>
      <c r="Q5">
        <v>0.62398901609185087</v>
      </c>
      <c r="R5">
        <v>61.961750557315497</v>
      </c>
      <c r="S5">
        <v>0.83831053972244263</v>
      </c>
      <c r="T5">
        <v>0.99197584390640259</v>
      </c>
      <c r="U5">
        <v>0.89303654432296753</v>
      </c>
      <c r="V5">
        <v>0.89085948467254639</v>
      </c>
      <c r="W5">
        <v>3.4194696694612503E-2</v>
      </c>
      <c r="X5">
        <f>Table4044[[#This Row],[Target Rate]]/Table4044[[#Totals],[Target Rate]]</f>
        <v>6.1961728593604981</v>
      </c>
    </row>
    <row r="6" spans="14:24" x14ac:dyDescent="0.35">
      <c r="N6">
        <v>2</v>
      </c>
      <c r="O6">
        <v>846329</v>
      </c>
      <c r="P6">
        <v>1854</v>
      </c>
      <c r="Q6">
        <v>0.21906374471393511</v>
      </c>
      <c r="R6">
        <v>21.75290390707497</v>
      </c>
      <c r="S6">
        <v>0.72656780481338501</v>
      </c>
      <c r="T6">
        <v>0.83831053972244263</v>
      </c>
      <c r="U6">
        <v>0.78574275970458984</v>
      </c>
      <c r="V6">
        <v>0.78730118274688721</v>
      </c>
      <c r="W6">
        <v>3.1616292893886573E-2</v>
      </c>
      <c r="X6">
        <f>Table4044[[#This Row],[Target Rate]]/Table4044[[#Totals],[Target Rate]]</f>
        <v>2.1752896196277902</v>
      </c>
    </row>
    <row r="7" spans="14:24" x14ac:dyDescent="0.35">
      <c r="N7">
        <v>3</v>
      </c>
      <c r="O7">
        <v>846329</v>
      </c>
      <c r="P7">
        <v>877</v>
      </c>
      <c r="Q7">
        <v>0.1036240043765486</v>
      </c>
      <c r="R7">
        <v>10.28980405960343</v>
      </c>
      <c r="S7">
        <v>0.54681682586669922</v>
      </c>
      <c r="T7">
        <v>0.72656720876693726</v>
      </c>
      <c r="U7">
        <v>0.64436346292495728</v>
      </c>
      <c r="V7">
        <v>0.64660185575485229</v>
      </c>
      <c r="W7">
        <v>5.1303226500749588E-2</v>
      </c>
      <c r="X7">
        <f>Table4044[[#This Row],[Target Rate]]/Table4044[[#Totals],[Target Rate]]</f>
        <v>1.028980041215519</v>
      </c>
    </row>
    <row r="8" spans="14:24" x14ac:dyDescent="0.35">
      <c r="N8">
        <v>4</v>
      </c>
      <c r="O8">
        <v>846329</v>
      </c>
      <c r="P8">
        <v>315</v>
      </c>
      <c r="Q8">
        <v>3.7219568276639463E-2</v>
      </c>
      <c r="R8">
        <v>3.6958817317845831</v>
      </c>
      <c r="S8">
        <v>0.25155696272850042</v>
      </c>
      <c r="T8">
        <v>0.54681569337844849</v>
      </c>
      <c r="U8">
        <v>0.40550479292869568</v>
      </c>
      <c r="V8">
        <v>0.40873774886131292</v>
      </c>
      <c r="W8">
        <v>9.0705417096614838E-2</v>
      </c>
      <c r="X8">
        <f>Table4044[[#This Row],[Target Rate]]/Table4044[[#Totals],[Target Rate]]</f>
        <v>0.36958804216977026</v>
      </c>
    </row>
    <row r="9" spans="14:24" x14ac:dyDescent="0.35">
      <c r="N9">
        <v>5</v>
      </c>
      <c r="O9">
        <v>846329</v>
      </c>
      <c r="P9">
        <v>115</v>
      </c>
      <c r="Q9">
        <v>1.358809635496361E-2</v>
      </c>
      <c r="R9">
        <v>1.3492901560483399</v>
      </c>
      <c r="S9">
        <v>0.12961745262145999</v>
      </c>
      <c r="T9">
        <v>0.25155696272850042</v>
      </c>
      <c r="U9">
        <v>0.1801873296499252</v>
      </c>
      <c r="V9">
        <v>0.17769570648670199</v>
      </c>
      <c r="W9">
        <v>3.5437364131212228E-2</v>
      </c>
      <c r="X9">
        <f>Table4044[[#This Row],[Target Rate]]/Table4044[[#Totals],[Target Rate]]</f>
        <v>0.13492896777626529</v>
      </c>
    </row>
    <row r="10" spans="14:24" x14ac:dyDescent="0.35">
      <c r="N10">
        <v>6</v>
      </c>
      <c r="O10">
        <v>846329</v>
      </c>
      <c r="P10">
        <v>49</v>
      </c>
      <c r="Q10">
        <v>5.7897106208105826E-3</v>
      </c>
      <c r="R10">
        <v>0.57491493605537958</v>
      </c>
      <c r="S10">
        <v>8.9860662817955017E-2</v>
      </c>
      <c r="T10">
        <v>0.12961745262145999</v>
      </c>
      <c r="U10">
        <v>0.10751723498106</v>
      </c>
      <c r="V10">
        <v>0.1064531207084656</v>
      </c>
      <c r="W10">
        <v>1.012117881327868E-2</v>
      </c>
      <c r="X10">
        <f>Table4044[[#This Row],[Target Rate]]/Table4044[[#Totals],[Target Rate]]</f>
        <v>5.7491473226408699E-2</v>
      </c>
    </row>
    <row r="11" spans="14:24" x14ac:dyDescent="0.35">
      <c r="N11">
        <v>7</v>
      </c>
      <c r="O11">
        <v>846329</v>
      </c>
      <c r="P11">
        <v>30</v>
      </c>
      <c r="Q11">
        <v>3.5447207882513781E-3</v>
      </c>
      <c r="R11">
        <v>0.35198873636043648</v>
      </c>
      <c r="S11">
        <v>4.4817909598350518E-2</v>
      </c>
      <c r="T11">
        <v>8.9860662817955017E-2</v>
      </c>
      <c r="U11">
        <v>6.6289238631725311E-2</v>
      </c>
      <c r="V11">
        <v>6.5088927745819092E-2</v>
      </c>
      <c r="W11">
        <v>1.351846009492874E-2</v>
      </c>
      <c r="X11">
        <f>Table4044[[#This Row],[Target Rate]]/Table4044[[#Totals],[Target Rate]]</f>
        <v>3.5198861159025742E-2</v>
      </c>
    </row>
    <row r="12" spans="14:24" x14ac:dyDescent="0.35">
      <c r="N12">
        <v>8</v>
      </c>
      <c r="O12">
        <v>846328</v>
      </c>
      <c r="P12">
        <v>2</v>
      </c>
      <c r="Q12">
        <v>2.3631499844032101E-4</v>
      </c>
      <c r="R12">
        <v>2.346591575736243E-2</v>
      </c>
      <c r="S12">
        <v>2.4271093308925629E-2</v>
      </c>
      <c r="T12">
        <v>4.4817909598350518E-2</v>
      </c>
      <c r="U12">
        <v>3.306955099105835E-2</v>
      </c>
      <c r="V12">
        <v>3.2926108688116067E-2</v>
      </c>
      <c r="W12">
        <v>5.3713838569819927E-3</v>
      </c>
      <c r="X12">
        <f>Table4044[[#This Row],[Target Rate]]/Table4044[[#Totals],[Target Rate]]</f>
        <v>2.3465935166079891E-3</v>
      </c>
    </row>
    <row r="13" spans="14:24" x14ac:dyDescent="0.35">
      <c r="N13">
        <v>9</v>
      </c>
      <c r="O13">
        <v>846328</v>
      </c>
      <c r="P13">
        <v>0</v>
      </c>
      <c r="Q13">
        <v>0</v>
      </c>
      <c r="R13">
        <v>0</v>
      </c>
      <c r="S13">
        <v>7.66014214605093E-3</v>
      </c>
      <c r="T13">
        <v>2.4271093308925629E-2</v>
      </c>
      <c r="U13">
        <v>1.5884766355156898E-2</v>
      </c>
      <c r="V13">
        <v>1.5716936439275742E-2</v>
      </c>
      <c r="W13">
        <v>5.0201886333525181E-3</v>
      </c>
      <c r="X13">
        <f>Table4044[[#This Row],[Target Rate]]/Table4044[[#Totals],[Target Rate]]</f>
        <v>0</v>
      </c>
    </row>
    <row r="14" spans="14:24" x14ac:dyDescent="0.35">
      <c r="N14">
        <v>10</v>
      </c>
      <c r="O14">
        <v>846328</v>
      </c>
      <c r="P14">
        <v>0</v>
      </c>
      <c r="Q14">
        <v>0</v>
      </c>
      <c r="R14">
        <v>0</v>
      </c>
      <c r="S14">
        <v>2.027571608778089E-4</v>
      </c>
      <c r="T14">
        <v>7.66014214605093E-3</v>
      </c>
      <c r="U14">
        <v>3.623240627348423E-3</v>
      </c>
      <c r="V14">
        <v>3.0798423103988171E-3</v>
      </c>
      <c r="W14">
        <v>2.025085268542171E-3</v>
      </c>
      <c r="X14">
        <f>Table4044[[#This Row],[Target Rate]]/Table4044[[#Totals],[Target Rate]]</f>
        <v>0</v>
      </c>
    </row>
    <row r="15" spans="14:24" x14ac:dyDescent="0.35">
      <c r="O15">
        <f>SUM(Table4044[Counts])</f>
        <v>8463287</v>
      </c>
      <c r="P15">
        <f>SUM(P5:P14)</f>
        <v>8523</v>
      </c>
      <c r="Q15">
        <f>100*P15/O15</f>
        <v>0.10070555329152846</v>
      </c>
    </row>
    <row r="41" spans="9:23" x14ac:dyDescent="0.35">
      <c r="R41" t="s">
        <v>53</v>
      </c>
      <c r="S41" t="s">
        <v>3</v>
      </c>
      <c r="T41" t="s">
        <v>4</v>
      </c>
      <c r="U41" t="s">
        <v>5</v>
      </c>
      <c r="V41" t="s">
        <v>6</v>
      </c>
      <c r="W41" t="s">
        <v>54</v>
      </c>
    </row>
    <row r="42" spans="9:23" x14ac:dyDescent="0.35">
      <c r="R42">
        <v>1</v>
      </c>
      <c r="S42">
        <v>35810</v>
      </c>
      <c r="T42">
        <v>1248</v>
      </c>
      <c r="U42" s="24">
        <v>3.4850599999999998</v>
      </c>
      <c r="V42" s="24">
        <v>15.946844</v>
      </c>
      <c r="W42" s="24">
        <f>Table84[[#This Row],[Target Rate]]/Table84[[#Totals],[Target Rate]]</f>
        <v>1.5890421862765143</v>
      </c>
    </row>
    <row r="43" spans="9:23" x14ac:dyDescent="0.35">
      <c r="R43">
        <v>2</v>
      </c>
      <c r="S43">
        <v>35881</v>
      </c>
      <c r="T43">
        <v>994</v>
      </c>
      <c r="U43" s="24">
        <v>2.770254</v>
      </c>
      <c r="V43" s="24">
        <v>12.701252999999999</v>
      </c>
      <c r="W43" s="24">
        <f>Table84[[#This Row],[Target Rate]]/Table84[[#Totals],[Target Rate]]</f>
        <v>1.2631204262484028</v>
      </c>
    </row>
    <row r="44" spans="9:23" x14ac:dyDescent="0.35">
      <c r="R44">
        <v>3</v>
      </c>
      <c r="S44">
        <v>35569</v>
      </c>
      <c r="T44">
        <v>884</v>
      </c>
      <c r="U44" s="24">
        <v>2.4853100000000001</v>
      </c>
      <c r="V44" s="24">
        <v>11.295681</v>
      </c>
      <c r="W44" s="24">
        <f>Table84[[#This Row],[Target Rate]]/Table84[[#Totals],[Target Rate]]</f>
        <v>1.1331978318809099</v>
      </c>
    </row>
    <row r="45" spans="9:23" x14ac:dyDescent="0.35">
      <c r="R45">
        <v>4</v>
      </c>
      <c r="S45">
        <v>35814</v>
      </c>
      <c r="T45">
        <v>870</v>
      </c>
      <c r="U45" s="24">
        <v>2.429217</v>
      </c>
      <c r="V45" s="24">
        <v>11.116790999999999</v>
      </c>
      <c r="W45" s="24">
        <f>Table84[[#This Row],[Target Rate]]/Table84[[#Totals],[Target Rate]]</f>
        <v>1.10762176049195</v>
      </c>
    </row>
    <row r="46" spans="9:23" x14ac:dyDescent="0.35">
      <c r="I46" s="16" t="s">
        <v>53</v>
      </c>
      <c r="J46" s="16" t="s">
        <v>3</v>
      </c>
      <c r="K46" s="16" t="s">
        <v>4</v>
      </c>
      <c r="L46" s="16" t="s">
        <v>5</v>
      </c>
      <c r="M46" s="16" t="s">
        <v>6</v>
      </c>
      <c r="N46" s="16" t="s">
        <v>11</v>
      </c>
      <c r="O46" s="16" t="s">
        <v>54</v>
      </c>
      <c r="R46">
        <v>5</v>
      </c>
      <c r="S46">
        <v>35839</v>
      </c>
      <c r="T46">
        <v>874</v>
      </c>
      <c r="U46" s="24">
        <v>2.4386860000000001</v>
      </c>
      <c r="V46" s="24">
        <v>11.167902</v>
      </c>
      <c r="W46" s="24">
        <f>Table84[[#This Row],[Target Rate]]/Table84[[#Totals],[Target Rate]]</f>
        <v>1.1119392300511117</v>
      </c>
    </row>
    <row r="47" spans="9:23" x14ac:dyDescent="0.35">
      <c r="I47">
        <v>1</v>
      </c>
      <c r="J47">
        <v>84241</v>
      </c>
      <c r="K47">
        <v>383</v>
      </c>
      <c r="L47">
        <v>0.45464797426431308</v>
      </c>
      <c r="M47">
        <v>45.978391356542623</v>
      </c>
      <c r="N47">
        <v>3.2675281167030328E-2</v>
      </c>
      <c r="O47">
        <f>Table4282[[#This Row],[Target Rate]]/'[1]Data Preprocessing'!$I$20</f>
        <v>5.5389549844225154</v>
      </c>
      <c r="R47">
        <v>6</v>
      </c>
      <c r="S47">
        <v>35399</v>
      </c>
      <c r="T47">
        <v>814</v>
      </c>
      <c r="U47" s="24">
        <v>2.299499</v>
      </c>
      <c r="V47" s="24">
        <v>10.401225999999999</v>
      </c>
      <c r="W47" s="24">
        <f>Table84[[#This Row],[Target Rate]]/Table84[[#Totals],[Target Rate]]</f>
        <v>1.0484757560273448</v>
      </c>
    </row>
    <row r="48" spans="9:23" x14ac:dyDescent="0.35">
      <c r="I48">
        <v>2</v>
      </c>
      <c r="J48">
        <v>105068</v>
      </c>
      <c r="K48">
        <v>242</v>
      </c>
      <c r="L48">
        <v>0.23032702630677271</v>
      </c>
      <c r="M48">
        <v>29.051620648259298</v>
      </c>
      <c r="N48">
        <v>3.1209405511617661E-2</v>
      </c>
      <c r="O48">
        <f>Table4282[[#This Row],[Target Rate]]/'[1]Data Preprocessing'!$I$20</f>
        <v>2.8060633778771336</v>
      </c>
      <c r="R48">
        <v>7</v>
      </c>
      <c r="S48">
        <v>36302</v>
      </c>
      <c r="T48">
        <v>570</v>
      </c>
      <c r="U48" s="24">
        <v>1.5701609999999999</v>
      </c>
      <c r="V48" s="24">
        <v>7.2834149999999998</v>
      </c>
      <c r="W48" s="24">
        <f>Table84[[#This Row],[Target Rate]]/Table84[[#Totals],[Target Rate]]</f>
        <v>0.71592800934449274</v>
      </c>
    </row>
    <row r="49" spans="9:27" x14ac:dyDescent="0.35">
      <c r="I49">
        <v>3</v>
      </c>
      <c r="J49">
        <v>118163</v>
      </c>
      <c r="K49">
        <v>138</v>
      </c>
      <c r="L49">
        <v>0.1167878269847584</v>
      </c>
      <c r="M49">
        <v>16.566626650660261</v>
      </c>
      <c r="N49">
        <v>4.9691759049892432E-2</v>
      </c>
      <c r="O49">
        <f>Table4282[[#This Row],[Target Rate]]/'[1]Data Preprocessing'!$I$20</f>
        <v>1.4228206282978657</v>
      </c>
      <c r="R49">
        <v>8</v>
      </c>
      <c r="S49">
        <v>35238</v>
      </c>
      <c r="T49">
        <v>361</v>
      </c>
      <c r="U49" s="24">
        <v>1.0244629999999999</v>
      </c>
      <c r="V49" s="24">
        <v>4.6128289999999996</v>
      </c>
      <c r="W49" s="24">
        <f>Table84[[#This Row],[Target Rate]]/Table84[[#Totals],[Target Rate]]</f>
        <v>0.46711245295042164</v>
      </c>
    </row>
    <row r="50" spans="9:27" x14ac:dyDescent="0.35">
      <c r="I50">
        <v>4</v>
      </c>
      <c r="J50">
        <v>97768</v>
      </c>
      <c r="K50">
        <v>51</v>
      </c>
      <c r="L50">
        <v>5.2164307339824877E-2</v>
      </c>
      <c r="M50">
        <v>6.1224489795918364</v>
      </c>
      <c r="N50">
        <v>7.4534326791763306E-2</v>
      </c>
      <c r="O50">
        <f>Table4282[[#This Row],[Target Rate]]/'[1]Data Preprocessing'!$I$20</f>
        <v>0.63551531405459638</v>
      </c>
      <c r="R50">
        <v>9</v>
      </c>
      <c r="S50">
        <v>35460</v>
      </c>
      <c r="T50">
        <v>602</v>
      </c>
      <c r="U50" s="24">
        <v>1.6976880000000001</v>
      </c>
      <c r="V50" s="24">
        <v>7.6923069999999996</v>
      </c>
      <c r="W50" s="24">
        <f>Table84[[#This Row],[Target Rate]]/Table84[[#Totals],[Target Rate]]</f>
        <v>0.77407500907743432</v>
      </c>
    </row>
    <row r="51" spans="9:27" x14ac:dyDescent="0.35">
      <c r="I51">
        <v>5</v>
      </c>
      <c r="J51">
        <v>58084</v>
      </c>
      <c r="K51">
        <v>5</v>
      </c>
      <c r="L51">
        <v>8.6082225742028784E-3</v>
      </c>
      <c r="M51">
        <v>0.60024009603841544</v>
      </c>
      <c r="N51">
        <v>3.7094570696353912E-2</v>
      </c>
      <c r="O51">
        <f>Table4282[[#This Row],[Target Rate]]/'[1]Data Preprocessing'!$I$20</f>
        <v>0.10487357259548678</v>
      </c>
      <c r="R51">
        <v>10</v>
      </c>
      <c r="S51">
        <v>35521</v>
      </c>
      <c r="T51">
        <v>609</v>
      </c>
      <c r="U51" s="24">
        <v>1.7144509999999999</v>
      </c>
      <c r="V51" s="24">
        <v>7.7817530000000001</v>
      </c>
      <c r="W51" s="24">
        <f>Table84[[#This Row],[Target Rate]]/Table84[[#Totals],[Target Rate]]</f>
        <v>0.78171823879759772</v>
      </c>
    </row>
    <row r="52" spans="9:27" x14ac:dyDescent="0.35">
      <c r="I52">
        <v>6</v>
      </c>
      <c r="J52">
        <v>80004</v>
      </c>
      <c r="K52">
        <v>3</v>
      </c>
      <c r="L52">
        <v>3.7498125093745312E-3</v>
      </c>
      <c r="M52">
        <v>0.36014405762304919</v>
      </c>
      <c r="N52">
        <v>1.1374827474355699E-2</v>
      </c>
      <c r="O52">
        <f>Table4282[[#This Row],[Target Rate]]/'[1]Data Preprocessing'!$I$20</f>
        <v>4.5683790240259897E-2</v>
      </c>
      <c r="S52">
        <f>SUM(Table84[Counts])</f>
        <v>356833</v>
      </c>
      <c r="T52">
        <f>SUM(Table84[Positive Target])</f>
        <v>7826</v>
      </c>
      <c r="U52">
        <f>Table84[[#Totals],[Positive Target]]/Table84[[#Totals],[Counts]]*100</f>
        <v>2.1931828054019666</v>
      </c>
    </row>
    <row r="53" spans="9:27" x14ac:dyDescent="0.35">
      <c r="I53">
        <v>7</v>
      </c>
      <c r="J53">
        <v>112175</v>
      </c>
      <c r="K53">
        <v>4</v>
      </c>
      <c r="L53">
        <v>3.565856919991086E-3</v>
      </c>
      <c r="M53">
        <v>0.48019207683073228</v>
      </c>
      <c r="N53">
        <v>1.334466598927975E-2</v>
      </c>
      <c r="O53">
        <f>Table4282[[#This Row],[Target Rate]]/'[1]Data Preprocessing'!$I$20</f>
        <v>4.3442667907367991E-2</v>
      </c>
    </row>
    <row r="54" spans="9:27" x14ac:dyDescent="0.35">
      <c r="I54">
        <v>8</v>
      </c>
      <c r="J54">
        <v>118195</v>
      </c>
      <c r="K54">
        <v>2</v>
      </c>
      <c r="L54">
        <v>1.692118955962604E-3</v>
      </c>
      <c r="M54">
        <v>0.24009603841536609</v>
      </c>
      <c r="N54">
        <v>8.1895384937524796E-3</v>
      </c>
      <c r="O54">
        <f>Table4282[[#This Row],[Target Rate]]/'[1]Data Preprocessing'!$I$20</f>
        <v>2.0615006017636123E-2</v>
      </c>
    </row>
    <row r="55" spans="9:27" x14ac:dyDescent="0.35">
      <c r="I55">
        <v>9</v>
      </c>
      <c r="J55">
        <v>104884</v>
      </c>
      <c r="K55">
        <v>5</v>
      </c>
      <c r="L55">
        <v>4.7671713512070484E-3</v>
      </c>
      <c r="M55">
        <v>0.60024009603841544</v>
      </c>
      <c r="N55">
        <v>3.4326938912272449E-3</v>
      </c>
      <c r="O55">
        <f>Table4282[[#This Row],[Target Rate]]/'[1]Data Preprocessing'!$I$20</f>
        <v>5.807822537885908E-2</v>
      </c>
    </row>
    <row r="56" spans="9:27" x14ac:dyDescent="0.35">
      <c r="I56">
        <v>10</v>
      </c>
      <c r="J56">
        <v>136258</v>
      </c>
      <c r="K56">
        <v>0</v>
      </c>
      <c r="L56">
        <v>0</v>
      </c>
      <c r="M56">
        <v>0</v>
      </c>
      <c r="N56">
        <v>1.173727214336395E-3</v>
      </c>
      <c r="O56">
        <f>Table4282[[#This Row],[Target Rate]]/'[1]Data Preprocessing'!$I$20</f>
        <v>0</v>
      </c>
    </row>
    <row r="62" spans="9:27" x14ac:dyDescent="0.35">
      <c r="Q62" s="25" t="s">
        <v>53</v>
      </c>
      <c r="R62" s="25" t="s">
        <v>3</v>
      </c>
      <c r="S62" s="25" t="s">
        <v>4</v>
      </c>
      <c r="T62" s="25" t="s">
        <v>5</v>
      </c>
      <c r="U62" s="25" t="s">
        <v>6</v>
      </c>
      <c r="V62" s="25"/>
      <c r="W62" s="25"/>
      <c r="X62" s="25"/>
      <c r="Y62" s="25"/>
      <c r="Z62" s="25"/>
      <c r="AA62" s="25" t="s">
        <v>54</v>
      </c>
    </row>
    <row r="63" spans="9:27" x14ac:dyDescent="0.35">
      <c r="Q63" s="20">
        <v>1</v>
      </c>
      <c r="R63" s="22">
        <v>78234</v>
      </c>
      <c r="S63" s="22">
        <v>327</v>
      </c>
      <c r="T63" s="22">
        <v>0.41797683871462538</v>
      </c>
      <c r="U63" s="22">
        <v>44.189189189189193</v>
      </c>
      <c r="V63" s="22"/>
      <c r="W63" s="22"/>
      <c r="X63" s="22"/>
      <c r="Y63" s="22"/>
      <c r="Z63" s="22"/>
      <c r="AA63" s="21">
        <f>T63/T73</f>
        <v>3.6174822206975752</v>
      </c>
    </row>
    <row r="64" spans="9:27" x14ac:dyDescent="0.35">
      <c r="Q64" s="19">
        <v>2</v>
      </c>
      <c r="R64" s="23">
        <v>99363</v>
      </c>
      <c r="S64" s="23">
        <v>224</v>
      </c>
      <c r="T64" s="23">
        <v>0.22543602749514399</v>
      </c>
      <c r="U64" s="23">
        <v>30.27027027027027</v>
      </c>
      <c r="V64" s="23"/>
      <c r="W64" s="23"/>
      <c r="X64" s="23"/>
      <c r="Y64" s="23"/>
      <c r="Z64" s="23"/>
      <c r="AA64" s="21">
        <f>T64/T73</f>
        <v>1.9510909357471957</v>
      </c>
    </row>
    <row r="65" spans="17:27" x14ac:dyDescent="0.35">
      <c r="Q65" s="20">
        <v>3</v>
      </c>
      <c r="R65" s="22">
        <v>111722</v>
      </c>
      <c r="S65" s="22">
        <v>129</v>
      </c>
      <c r="T65" s="22">
        <v>0.1154651724816956</v>
      </c>
      <c r="U65" s="22">
        <v>17.432432432432432</v>
      </c>
      <c r="V65" s="22"/>
      <c r="W65" s="22"/>
      <c r="X65" s="22"/>
      <c r="Y65" s="22"/>
      <c r="Z65" s="22"/>
      <c r="AA65" s="21">
        <f>T65/T73</f>
        <v>0.99932142136587077</v>
      </c>
    </row>
    <row r="66" spans="17:27" x14ac:dyDescent="0.35">
      <c r="Q66" s="19">
        <v>4</v>
      </c>
      <c r="R66" s="23">
        <v>90812</v>
      </c>
      <c r="S66" s="23">
        <v>49</v>
      </c>
      <c r="T66" s="23">
        <v>5.3957626745364043E-2</v>
      </c>
      <c r="U66" s="23">
        <v>6.6216216216216219</v>
      </c>
      <c r="V66" s="23"/>
      <c r="W66" s="23"/>
      <c r="X66" s="23"/>
      <c r="Y66" s="23"/>
      <c r="Z66" s="23"/>
      <c r="AA66" s="21">
        <f>T66/T73</f>
        <v>0.46698940549588042</v>
      </c>
    </row>
    <row r="67" spans="17:27" x14ac:dyDescent="0.35">
      <c r="Q67" s="20">
        <v>5</v>
      </c>
      <c r="R67" s="22">
        <v>25757</v>
      </c>
      <c r="S67" s="22">
        <v>4</v>
      </c>
      <c r="T67" s="22">
        <v>1.552975890049307E-2</v>
      </c>
      <c r="U67" s="22">
        <v>0.54054054054054057</v>
      </c>
      <c r="V67" s="22"/>
      <c r="W67" s="22"/>
      <c r="X67" s="22"/>
      <c r="Y67" s="22"/>
      <c r="Z67" s="22"/>
      <c r="AA67" s="21">
        <f>T67/T73</f>
        <v>0.13440607591323903</v>
      </c>
    </row>
    <row r="68" spans="17:27" x14ac:dyDescent="0.35">
      <c r="Q68" s="19">
        <v>6</v>
      </c>
      <c r="R68" s="23">
        <v>20034</v>
      </c>
      <c r="S68" s="23">
        <v>1</v>
      </c>
      <c r="T68" s="23">
        <v>4.9915144254766893E-3</v>
      </c>
      <c r="U68" s="23">
        <v>0.13513513513513509</v>
      </c>
      <c r="V68" s="23"/>
      <c r="W68" s="23"/>
      <c r="X68" s="23"/>
      <c r="Y68" s="23"/>
      <c r="Z68" s="23"/>
      <c r="AA68" s="21">
        <f>T68/T73</f>
        <v>4.320027574744556E-2</v>
      </c>
    </row>
    <row r="69" spans="17:27" x14ac:dyDescent="0.35">
      <c r="Q69" s="20">
        <v>7</v>
      </c>
      <c r="R69" s="22">
        <v>30871</v>
      </c>
      <c r="S69" s="22">
        <v>1</v>
      </c>
      <c r="T69" s="22">
        <v>3.239286061352078E-3</v>
      </c>
      <c r="U69" s="22">
        <v>0.13513513513513509</v>
      </c>
      <c r="V69" s="22"/>
      <c r="W69" s="22"/>
      <c r="X69" s="22"/>
      <c r="Y69" s="22"/>
      <c r="Z69" s="22"/>
      <c r="AA69" s="21">
        <f>T69/T73</f>
        <v>2.8035189152418916E-2</v>
      </c>
    </row>
    <row r="70" spans="17:27" x14ac:dyDescent="0.35">
      <c r="Q70" s="19">
        <v>8</v>
      </c>
      <c r="R70" s="23">
        <v>51029</v>
      </c>
      <c r="S70" s="23">
        <v>1</v>
      </c>
      <c r="T70" s="23">
        <v>1.9596699915734191E-3</v>
      </c>
      <c r="U70" s="23">
        <v>0.13513513513513509</v>
      </c>
      <c r="V70" s="23"/>
      <c r="W70" s="23"/>
      <c r="X70" s="23"/>
      <c r="Y70" s="23"/>
      <c r="Z70" s="23"/>
      <c r="AA70" s="21">
        <f>T70/T73</f>
        <v>1.6960440618556595E-2</v>
      </c>
    </row>
    <row r="71" spans="17:27" x14ac:dyDescent="0.35">
      <c r="Q71" s="20">
        <v>9</v>
      </c>
      <c r="R71" s="22">
        <v>61545</v>
      </c>
      <c r="S71" s="22">
        <v>4</v>
      </c>
      <c r="T71" s="22">
        <v>6.4993094483711102E-3</v>
      </c>
      <c r="U71" s="22">
        <v>0.54054054054054057</v>
      </c>
      <c r="V71" s="22"/>
      <c r="W71" s="22"/>
      <c r="X71" s="22"/>
      <c r="Y71" s="22"/>
      <c r="Z71" s="22"/>
      <c r="AA71" s="21">
        <f>T71/T73</f>
        <v>5.6249854534036837E-2</v>
      </c>
    </row>
    <row r="72" spans="17:27" x14ac:dyDescent="0.35">
      <c r="Q72" s="19">
        <v>10</v>
      </c>
      <c r="R72" s="23">
        <v>71084</v>
      </c>
      <c r="S72" s="23">
        <v>0</v>
      </c>
      <c r="T72" s="23">
        <v>0</v>
      </c>
      <c r="U72" s="23">
        <v>0</v>
      </c>
      <c r="V72" s="23"/>
      <c r="W72" s="23"/>
      <c r="X72" s="23"/>
      <c r="Y72" s="23"/>
      <c r="Z72" s="23"/>
      <c r="AA72" s="21">
        <f>T72/T73</f>
        <v>0</v>
      </c>
    </row>
    <row r="73" spans="17:27" x14ac:dyDescent="0.35">
      <c r="R73">
        <f>SUM(R63:R72)</f>
        <v>640451</v>
      </c>
      <c r="S73">
        <f>SUM(S63:S72)</f>
        <v>740</v>
      </c>
      <c r="T73">
        <f>S73/R73*100</f>
        <v>0.11554357788495918</v>
      </c>
    </row>
  </sheetData>
  <phoneticPr fontId="8" type="noConversion"/>
  <pageMargins left="0.7" right="0.7" top="0.75" bottom="0.75" header="0.3" footer="0.3"/>
  <headerFooter>
    <oddFooter>&amp;C_x000D_&amp;1#&amp;"Aptos"&amp;12&amp;K008000 Public</oddFooter>
  </headerFooter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70CC354DDE9409C9C44B07B33F732" ma:contentTypeVersion="15" ma:contentTypeDescription="Create a new document." ma:contentTypeScope="" ma:versionID="bdff659b63687988e0ac4d8a339d7624">
  <xsd:schema xmlns:xsd="http://www.w3.org/2001/XMLSchema" xmlns:xs="http://www.w3.org/2001/XMLSchema" xmlns:p="http://schemas.microsoft.com/office/2006/metadata/properties" xmlns:ns1="http://schemas.microsoft.com/sharepoint/v3" xmlns:ns2="1330ee98-a10a-4f35-8a5e-ca28a8b70472" xmlns:ns3="537fa557-83b0-4eec-96f5-2b3b1e45f4dd" targetNamespace="http://schemas.microsoft.com/office/2006/metadata/properties" ma:root="true" ma:fieldsID="ccfa070af97e57472fd7fbc6816a294f" ns1:_="" ns2:_="" ns3:_="">
    <xsd:import namespace="http://schemas.microsoft.com/sharepoint/v3"/>
    <xsd:import namespace="1330ee98-a10a-4f35-8a5e-ca28a8b70472"/>
    <xsd:import namespace="537fa557-83b0-4eec-96f5-2b3b1e45f4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0ee98-a10a-4f35-8a5e-ca28a8b704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dea4556-e109-4435-addd-6867da421a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fa557-83b0-4eec-96f5-2b3b1e45f4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330ee98-a10a-4f35-8a5e-ca28a8b704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BD0088-9D62-455F-AAFC-51DF560019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330ee98-a10a-4f35-8a5e-ca28a8b70472"/>
    <ds:schemaRef ds:uri="537fa557-83b0-4eec-96f5-2b3b1e45f4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19DE84-DAF7-489C-BD7E-1D5DBD55089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330ee98-a10a-4f35-8a5e-ca28a8b70472"/>
  </ds:schemaRefs>
</ds:datastoreItem>
</file>

<file path=customXml/itemProps3.xml><?xml version="1.0" encoding="utf-8"?>
<ds:datastoreItem xmlns:ds="http://schemas.openxmlformats.org/officeDocument/2006/customXml" ds:itemID="{040610BB-0E87-47D6-A643-8DF6BDC975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dbadf8f-a2bf-4831-b542-dec57a1ae38b}" enabled="1" method="Privileged" siteId="{2829b063-3f75-4df6-b16d-605d30d1b7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Model</vt:lpstr>
      <vt:lpstr>Comparison</vt:lpstr>
      <vt:lpstr>Correlated Columns</vt:lpstr>
      <vt:lpstr>Old Features</vt:lpstr>
      <vt:lpstr>Undersampling</vt:lpstr>
      <vt:lpstr>Undersampled + Correlation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Satya Pranav Penta</dc:creator>
  <cp:keywords/>
  <dc:description/>
  <cp:lastModifiedBy>Sai Satya Pranav Penta</cp:lastModifiedBy>
  <cp:revision/>
  <dcterms:created xsi:type="dcterms:W3CDTF">2026-06-15T11:11:53Z</dcterms:created>
  <dcterms:modified xsi:type="dcterms:W3CDTF">2026-07-14T10:38:29Z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0x010100C4270CC354DDE9409C9C44B07B33F732</vt:lpwstr>
  </property>
  <property fmtid="{D5CDD505-2E9C-101B-9397-08002B2CF9AE}" pid="3" name="MediaServiceImageTags">
    <vt:lpwstr/>
  </property>
</Properties>
</file>